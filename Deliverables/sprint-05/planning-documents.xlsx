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0" r:id="rId12"/>
    <sheet state="visible" name="Burndown Chart" sheetId="11" r:id="rId13"/>
    <sheet state="visible" name="Final Project Release plan" sheetId="12" r:id="rId14"/>
    <sheet state="visible" name="Definition of Done" sheetId="13" r:id="rId15"/>
    <sheet state="visible" name="Documentation" sheetId="14" r:id="rId16"/>
    <sheet state="visible" name="Bill of Materials" sheetId="15" r:id="rId17"/>
    <sheet state="visible" name="Planning Poker" sheetId="16" r:id="rId18"/>
  </sheets>
  <definedNames/>
  <calcPr/>
</workbook>
</file>

<file path=xl/sharedStrings.xml><?xml version="1.0" encoding="utf-8"?>
<sst xmlns="http://schemas.openxmlformats.org/spreadsheetml/2006/main" count="789" uniqueCount="463">
  <si>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</si>
  <si>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</si>
  <si>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</si>
  <si>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</si>
  <si>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</si>
  <si>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</si>
  <si>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</si>
  <si>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</si>
  <si>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</si>
  <si>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</si>
  <si>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</si>
  <si>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</si>
  <si>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</si>
  <si>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</si>
  <si>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</si>
  <si>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</si>
  <si>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</si>
  <si>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</si>
  <si>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</si>
  <si>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</si>
  <si>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</si>
  <si>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</si>
  <si>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</si>
  <si>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</si>
  <si>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</si>
  <si>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</si>
  <si>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</si>
  <si>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</si>
  <si>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</si>
  <si>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</si>
  <si>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</si>
  <si>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</si>
  <si>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</si>
  <si>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</si>
  <si>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</si>
  <si>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</si>
  <si>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</si>
  <si>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</si>
  <si>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</si>
  <si>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</si>
  <si>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</si>
  <si>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</si>
  <si>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</si>
  <si>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</si>
  <si>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</si>
  <si>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</si>
  <si>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</si>
  <si>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</si>
  <si>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</si>
  <si>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</si>
  <si>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</si>
  <si>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</si>
  <si>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</si>
  <si>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</si>
  <si>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</si>
  <si>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</si>
  <si>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</si>
  <si>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</si>
  <si>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</si>
  <si>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</si>
  <si>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</si>
  <si>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</si>
  <si>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</si>
  <si>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</si>
  <si>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</si>
  <si>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</si>
  <si>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</si>
  <si>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</si>
  <si>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</si>
  <si>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</si>
  <si>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</si>
  <si>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</si>
  <si>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</si>
  <si>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</si>
  <si>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</si>
  <si>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</si>
  <si>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</si>
  <si>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</si>
  <si>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</si>
  <si>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</si>
  <si>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</si>
  <si>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</si>
  <si>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</si>
  <si>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</si>
  <si>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</si>
  <si>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</si>
  <si>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</si>
  <si>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</si>
  <si>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</si>
  <si>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</si>
  <si>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</si>
  <si>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</si>
  <si>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</si>
  <si>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</si>
  <si>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</si>
  <si>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</si>
  <si>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</si>
  <si>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</si>
  <si>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</si>
  <si>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</si>
  <si>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</si>
  <si>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</si>
  <si>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</si>
  <si>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</si>
  <si>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</si>
  <si>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</si>
  <si>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</si>
  <si>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</si>
  <si>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</si>
  <si>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</si>
  <si>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</si>
  <si>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</si>
  <si>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</si>
  <si>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</si>
  <si>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</si>
  <si>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</si>
  <si>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</si>
  <si>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</si>
  <si>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</si>
  <si>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</si>
  <si>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</si>
  <si>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</si>
  <si>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</si>
  <si>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</si>
  <si>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</si>
  <si>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</si>
  <si>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</si>
  <si>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</si>
  <si>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</si>
  <si>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</si>
  <si>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</si>
  <si>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</si>
  <si>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Story Points Realized</t>
  </si>
  <si>
    <t>PLEASE CREATE THE VELOCITY CHART ON A NEW TAB USING THE DATA FROM THIS TAB</t>
  </si>
  <si>
    <t xml:space="preserve">Average Speed: </t>
  </si>
  <si>
    <t>Points/Sprint</t>
  </si>
  <si>
    <t>Sprint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</si>
  <si>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</si>
  <si>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</si>
  <si>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</si>
  <si>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</si>
  <si>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</si>
  <si>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</si>
  <si>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</si>
  <si>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</si>
  <si>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</si>
  <si>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</si>
  <si>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</si>
  <si>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</si>
  <si>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</si>
  <si>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</si>
  <si>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</si>
  <si>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</si>
  <si>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</si>
  <si>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</si>
  <si>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</si>
  <si>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</si>
  <si>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</si>
  <si>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</si>
  <si>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</si>
  <si>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</si>
  <si>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</si>
  <si>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</si>
  <si>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</si>
  <si>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</si>
  <si>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</si>
  <si>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</si>
  <si>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</si>
  <si>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</si>
  <si>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</si>
  <si>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</si>
  <si>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</si>
  <si>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</si>
  <si>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</si>
  <si>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</si>
  <si>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</si>
  <si>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Implementation of Batch Processing for Data Pre-Loading</t>
  </si>
  <si>
    <t>Unified Code Styling &amp; Editor Configurations</t>
  </si>
  <si>
    <t>Deliver Increment with internal component integrations broadly implemented</t>
  </si>
  <si>
    <t>Build Process Video</t>
  </si>
  <si>
    <t>Definition of Done</t>
  </si>
  <si>
    <t>ReportCreator Component Prototype Implementation</t>
  </si>
  <si>
    <t>Data Generation Ano/Duo Separation</t>
  </si>
  <si>
    <t>Implementation of Load Test Scenarios</t>
  </si>
  <si>
    <t>First System Test Creation</t>
  </si>
  <si>
    <t>Wiki Creation</t>
  </si>
  <si>
    <t>Research -  How to Destroy OpenSearch</t>
  </si>
  <si>
    <t>Test Evaluation</t>
  </si>
  <si>
    <t>View for test Summary</t>
  </si>
  <si>
    <t>Decide Intecration of Load Testing framework</t>
  </si>
  <si>
    <t>PLEASE CREATE THE BURNDOWN CHART ON A NEW TAB USING THE DATA FROM THIS TAB</t>
  </si>
  <si>
    <t>Development Speed: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</si>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</sst>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16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color rgb="FFFFFFFF"/>
      <name val="Arial"/>
    </font>
    <font>
      <color rgb="FF000000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5" fontId="1" numFmtId="0" xfId="0" applyAlignment="1" applyFill="1" applyFont="1">
      <alignment readingOrder="0" shrinkToFit="0" wrapText="1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3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5" fontId="1" numFmtId="0" xfId="0" applyAlignment="1" applyFont="1">
      <alignment readingOrder="0" shrinkToFit="0" wrapText="0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horizontal="right" shrinkToFit="0" vertical="bottom" wrapText="0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14" numFmtId="0" xfId="0" applyAlignment="1" applyFont="1">
      <alignment horizontal="right" readingOrder="0" shrinkToFit="0" vertical="bottom" wrapText="1"/>
    </xf>
    <xf borderId="0" fillId="0" fontId="14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15" numFmtId="4" xfId="0" applyAlignment="1" applyFont="1" applyNumberFormat="1">
      <alignment horizontal="center" shrinkToFit="0" vertical="center" wrapText="1"/>
    </xf>
    <xf borderId="0" fillId="8" fontId="15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2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419177592"/>
        <c:axId val="2001244642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419177592"/>
        <c:axId val="2001244642"/>
      </c:lineChart>
      <c:catAx>
        <c:axId val="419177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01244642"/>
      </c:catAx>
      <c:valAx>
        <c:axId val="2001244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191775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plan'!$E$9:$E$22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plan'!$G$9:$G$22</c:f>
              <c:numCache/>
            </c:numRef>
          </c:val>
        </c:ser>
        <c:axId val="1573955420"/>
        <c:axId val="711021364"/>
      </c:barChart>
      <c:catAx>
        <c:axId val="15739554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1021364"/>
      </c:catAx>
      <c:valAx>
        <c:axId val="7110213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739554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20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headerRowCount="0" ref="A1:C20" displayName="Table_7" name="Table_7" id="7">
  <tableColumns count="3">
    <tableColumn name="Column1" id="1"/>
    <tableColumn name="Column2" id="2"/>
    <tableColumn name="Column3" id="3"/>
  </tableColumns>
  <tableStyleInfo name="Velocity Tracking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ref="A1:G87" displayName="Table_8" name="Table_8" id="8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9.xml><?xml version="1.0" encoding="utf-8"?>
<table xmlns="http://schemas.openxmlformats.org/spreadsheetml/2006/main" ref="A1:G34" displayName="Table_9" name="Table_9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D20" displayName="Table_10" name="Table_10" id="10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1.xml><?xml version="1.0" encoding="utf-8"?>
<table xmlns="http://schemas.openxmlformats.org/spreadsheetml/2006/main" ref="A1:B20" displayName="Table_11" name="Table_11" id="11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2.xml><?xml version="1.0" encoding="utf-8"?>
<table xmlns="http://schemas.openxmlformats.org/spreadsheetml/2006/main" ref="A1:F88" displayName="Table_12" name="Table_12" id="12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2"/>
      <c r="B2" s="2"/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0" t="s">
        <v>126</v>
      </c>
      <c r="B1" s="3" t="s">
        <v>127</v>
      </c>
    </row>
    <row r="2">
      <c r="A2" s="61">
        <v>1.0</v>
      </c>
      <c r="B2" s="12" t="s">
        <v>128</v>
      </c>
    </row>
    <row r="3">
      <c r="A3" s="61">
        <f t="shared" ref="A3:A16" si="1">A2+1</f>
        <v>2</v>
      </c>
      <c r="B3" s="12" t="s">
        <v>128</v>
      </c>
    </row>
    <row r="4">
      <c r="A4" s="61">
        <f t="shared" si="1"/>
        <v>3</v>
      </c>
      <c r="B4" s="12" t="s">
        <v>128</v>
      </c>
    </row>
    <row r="5">
      <c r="A5" s="61">
        <f t="shared" si="1"/>
        <v>4</v>
      </c>
      <c r="B5" s="62" t="s">
        <v>129</v>
      </c>
    </row>
    <row r="6">
      <c r="A6" s="61">
        <f t="shared" si="1"/>
        <v>5</v>
      </c>
      <c r="B6" s="12" t="s">
        <v>130</v>
      </c>
    </row>
    <row r="7">
      <c r="A7" s="61">
        <f t="shared" si="1"/>
        <v>6</v>
      </c>
      <c r="B7" s="12" t="s">
        <v>131</v>
      </c>
    </row>
    <row r="8">
      <c r="A8" s="61">
        <f t="shared" si="1"/>
        <v>7</v>
      </c>
      <c r="B8" s="2"/>
    </row>
    <row r="9">
      <c r="A9" s="61">
        <f t="shared" si="1"/>
        <v>8</v>
      </c>
      <c r="B9" s="2"/>
    </row>
    <row r="10">
      <c r="A10" s="61">
        <f t="shared" si="1"/>
        <v>9</v>
      </c>
      <c r="B10" s="2"/>
    </row>
    <row r="11">
      <c r="A11" s="61">
        <f t="shared" si="1"/>
        <v>10</v>
      </c>
      <c r="B11" s="2"/>
    </row>
    <row r="12">
      <c r="A12" s="61">
        <f t="shared" si="1"/>
        <v>11</v>
      </c>
      <c r="B12" s="2"/>
    </row>
    <row r="13">
      <c r="A13" s="61">
        <f t="shared" si="1"/>
        <v>12</v>
      </c>
      <c r="B13" s="2"/>
    </row>
    <row r="14">
      <c r="A14" s="61">
        <f t="shared" si="1"/>
        <v>13</v>
      </c>
      <c r="B14" s="2"/>
    </row>
    <row r="15">
      <c r="A15" s="61">
        <f t="shared" si="1"/>
        <v>14</v>
      </c>
      <c r="B15" s="2"/>
    </row>
    <row r="16">
      <c r="A16" s="61">
        <f t="shared" si="1"/>
        <v>15</v>
      </c>
      <c r="B16" s="2"/>
    </row>
    <row r="17">
      <c r="A17" s="61"/>
      <c r="B17" s="2"/>
    </row>
    <row r="18">
      <c r="A18" s="61"/>
      <c r="B18" s="2"/>
    </row>
    <row r="19">
      <c r="A19" s="63"/>
      <c r="B19" s="2"/>
    </row>
    <row r="20">
      <c r="A20" s="63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3" width="112.63"/>
  </cols>
  <sheetData>
    <row r="1">
      <c r="A1" s="60" t="s">
        <v>126</v>
      </c>
      <c r="B1" s="3" t="s">
        <v>132</v>
      </c>
      <c r="C1" s="3"/>
    </row>
    <row r="2">
      <c r="A2" s="61">
        <v>1.0</v>
      </c>
      <c r="B2" s="12">
        <v>13.0</v>
      </c>
      <c r="C2" s="2">
        <f t="shared" ref="C2:C16" si="1">AVERAGE($B$2:$B$16)</f>
        <v>17.25</v>
      </c>
    </row>
    <row r="3">
      <c r="A3" s="61">
        <f t="shared" ref="A3:A16" si="2">A2+1</f>
        <v>2</v>
      </c>
      <c r="B3" s="12">
        <v>18.0</v>
      </c>
      <c r="C3" s="2">
        <f t="shared" si="1"/>
        <v>17.25</v>
      </c>
    </row>
    <row r="4">
      <c r="A4" s="61">
        <f t="shared" si="2"/>
        <v>3</v>
      </c>
      <c r="B4" s="12">
        <v>18.0</v>
      </c>
      <c r="C4" s="2">
        <f t="shared" si="1"/>
        <v>17.25</v>
      </c>
    </row>
    <row r="5">
      <c r="A5" s="61">
        <f t="shared" si="2"/>
        <v>4</v>
      </c>
      <c r="B5" s="62">
        <v>20.0</v>
      </c>
      <c r="C5" s="2">
        <f t="shared" si="1"/>
        <v>17.25</v>
      </c>
    </row>
    <row r="6">
      <c r="A6" s="61">
        <f t="shared" si="2"/>
        <v>5</v>
      </c>
      <c r="B6" s="12"/>
      <c r="C6" s="2">
        <f t="shared" si="1"/>
        <v>17.25</v>
      </c>
    </row>
    <row r="7">
      <c r="A7" s="61">
        <f t="shared" si="2"/>
        <v>6</v>
      </c>
      <c r="B7" s="2"/>
      <c r="C7" s="2">
        <f t="shared" si="1"/>
        <v>17.25</v>
      </c>
    </row>
    <row r="8">
      <c r="A8" s="61">
        <f t="shared" si="2"/>
        <v>7</v>
      </c>
      <c r="B8" s="2"/>
      <c r="C8" s="2">
        <f t="shared" si="1"/>
        <v>17.25</v>
      </c>
    </row>
    <row r="9">
      <c r="A9" s="61">
        <f t="shared" si="2"/>
        <v>8</v>
      </c>
      <c r="B9" s="2"/>
      <c r="C9" s="2">
        <f t="shared" si="1"/>
        <v>17.25</v>
      </c>
    </row>
    <row r="10">
      <c r="A10" s="61">
        <f t="shared" si="2"/>
        <v>9</v>
      </c>
      <c r="B10" s="2"/>
      <c r="C10" s="2">
        <f t="shared" si="1"/>
        <v>17.25</v>
      </c>
    </row>
    <row r="11">
      <c r="A11" s="61">
        <f t="shared" si="2"/>
        <v>10</v>
      </c>
      <c r="B11" s="2"/>
      <c r="C11" s="2">
        <f t="shared" si="1"/>
        <v>17.25</v>
      </c>
    </row>
    <row r="12">
      <c r="A12" s="61">
        <f t="shared" si="2"/>
        <v>11</v>
      </c>
      <c r="B12" s="2"/>
      <c r="C12" s="2">
        <f t="shared" si="1"/>
        <v>17.25</v>
      </c>
    </row>
    <row r="13">
      <c r="A13" s="61">
        <f t="shared" si="2"/>
        <v>12</v>
      </c>
      <c r="B13" s="2"/>
      <c r="C13" s="2">
        <f t="shared" si="1"/>
        <v>17.25</v>
      </c>
    </row>
    <row r="14">
      <c r="A14" s="61">
        <f t="shared" si="2"/>
        <v>13</v>
      </c>
      <c r="B14" s="2"/>
      <c r="C14" s="2">
        <f t="shared" si="1"/>
        <v>17.25</v>
      </c>
    </row>
    <row r="15">
      <c r="A15" s="61">
        <f t="shared" si="2"/>
        <v>14</v>
      </c>
      <c r="B15" s="2"/>
      <c r="C15" s="2">
        <f t="shared" si="1"/>
        <v>17.25</v>
      </c>
    </row>
    <row r="16">
      <c r="A16" s="61">
        <f t="shared" si="2"/>
        <v>15</v>
      </c>
      <c r="B16" s="2"/>
      <c r="C16" s="2">
        <f t="shared" si="1"/>
        <v>17.25</v>
      </c>
    </row>
    <row r="17">
      <c r="A17" s="61"/>
      <c r="B17" s="2"/>
      <c r="C17" s="2"/>
    </row>
    <row r="18">
      <c r="A18" s="61"/>
      <c r="B18" s="64" t="s">
        <v>133</v>
      </c>
      <c r="C18" s="64"/>
    </row>
    <row r="19">
      <c r="A19" s="63"/>
      <c r="B19" s="2"/>
      <c r="C19" s="2"/>
    </row>
    <row r="20">
      <c r="A20" s="63"/>
      <c r="C20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sheetData>
    <row r="23">
      <c r="A23" s="62" t="s">
        <v>134</v>
      </c>
      <c r="B23">
        <f>'Velocity Tracking'!C2</f>
        <v>17.25</v>
      </c>
      <c r="C23" s="62" t="s">
        <v>135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65" t="s">
        <v>136</v>
      </c>
      <c r="B1" s="66" t="s">
        <v>137</v>
      </c>
      <c r="C1" s="67" t="s">
        <v>138</v>
      </c>
      <c r="D1" s="68" t="s">
        <v>139</v>
      </c>
      <c r="E1" s="68" t="s">
        <v>140</v>
      </c>
      <c r="F1" s="68" t="s">
        <v>141</v>
      </c>
      <c r="G1" s="68" t="s">
        <v>142</v>
      </c>
    </row>
    <row r="2">
      <c r="A2" s="69"/>
      <c r="B2" s="70"/>
      <c r="C2" s="71"/>
      <c r="D2" s="71"/>
      <c r="E2" s="71"/>
      <c r="F2" s="71"/>
      <c r="G2" s="71"/>
    </row>
    <row r="3">
      <c r="A3" s="72" t="s">
        <v>143</v>
      </c>
      <c r="B3" s="73"/>
      <c r="C3" s="74"/>
      <c r="D3" s="74"/>
      <c r="E3" s="74"/>
      <c r="F3" s="74"/>
      <c r="G3" s="74"/>
    </row>
    <row r="4">
      <c r="A4" s="69"/>
      <c r="B4" s="70"/>
      <c r="C4" s="71"/>
      <c r="D4" s="71"/>
      <c r="E4" s="71"/>
      <c r="F4" s="71"/>
      <c r="G4" s="71"/>
    </row>
    <row r="5">
      <c r="A5" s="75" t="s">
        <v>144</v>
      </c>
      <c r="B5" s="76"/>
      <c r="C5" s="77"/>
      <c r="D5" s="78">
        <f>sum(D8:D17)</f>
        <v>90</v>
      </c>
      <c r="E5" s="78">
        <f>D5</f>
        <v>90</v>
      </c>
      <c r="F5" s="77"/>
      <c r="G5" s="77"/>
    </row>
    <row r="6">
      <c r="A6" s="69"/>
      <c r="B6" s="70"/>
      <c r="C6" s="71"/>
      <c r="D6" s="71"/>
      <c r="E6" s="71"/>
      <c r="F6" s="71"/>
      <c r="G6" s="71"/>
    </row>
    <row r="7">
      <c r="A7" s="79" t="s">
        <v>145</v>
      </c>
      <c r="B7" s="80"/>
      <c r="C7" s="81"/>
      <c r="D7" s="81"/>
      <c r="E7" s="81"/>
      <c r="F7" s="81"/>
      <c r="G7" s="81"/>
    </row>
    <row r="8">
      <c r="A8" s="69"/>
      <c r="B8" s="70"/>
      <c r="C8" s="71"/>
      <c r="D8" s="71"/>
      <c r="E8" s="82" t="s">
        <v>146</v>
      </c>
      <c r="F8" s="71"/>
      <c r="G8" s="82" t="s">
        <v>147</v>
      </c>
    </row>
    <row r="9">
      <c r="A9" s="83">
        <v>1.0</v>
      </c>
      <c r="B9" s="84" t="s">
        <v>148</v>
      </c>
      <c r="C9" s="77"/>
      <c r="D9" s="78">
        <f>sum(D26:D35)</f>
        <v>10</v>
      </c>
      <c r="E9" s="78">
        <f>$D$5</f>
        <v>90</v>
      </c>
      <c r="F9" s="78">
        <f>sum(F26:F35)</f>
        <v>13</v>
      </c>
      <c r="G9" s="78">
        <f>$D$5</f>
        <v>90</v>
      </c>
    </row>
    <row r="10">
      <c r="A10" s="69">
        <f t="shared" ref="A10:A11" si="1">A9+1</f>
        <v>2</v>
      </c>
      <c r="B10" s="85" t="s">
        <v>149</v>
      </c>
      <c r="C10" s="71"/>
      <c r="D10" s="86">
        <f>sum(D36:D46)</f>
        <v>18</v>
      </c>
      <c r="E10" s="86">
        <f t="shared" ref="E10:E14" si="2">E9-D9</f>
        <v>80</v>
      </c>
      <c r="F10" s="86">
        <f>sum(F36:F46)</f>
        <v>16</v>
      </c>
      <c r="G10" s="86">
        <f t="shared" ref="G10:G14" si="3">G9-F9</f>
        <v>77</v>
      </c>
    </row>
    <row r="11">
      <c r="A11" s="83">
        <f t="shared" si="1"/>
        <v>3</v>
      </c>
      <c r="B11" s="84" t="s">
        <v>150</v>
      </c>
      <c r="C11" s="77"/>
      <c r="D11" s="78">
        <f>sum(D47:D54)</f>
        <v>18</v>
      </c>
      <c r="E11" s="78">
        <f t="shared" si="2"/>
        <v>62</v>
      </c>
      <c r="F11" s="78">
        <f>sum(F47:F86)</f>
        <v>23</v>
      </c>
      <c r="G11" s="78">
        <f t="shared" si="3"/>
        <v>61</v>
      </c>
    </row>
    <row r="12">
      <c r="A12" s="87">
        <v>4.0</v>
      </c>
      <c r="B12" s="85" t="s">
        <v>151</v>
      </c>
      <c r="C12" s="71"/>
      <c r="D12" s="71">
        <f>sum(D57:D62)</f>
        <v>16</v>
      </c>
      <c r="E12" s="86">
        <f t="shared" si="2"/>
        <v>44</v>
      </c>
      <c r="F12" s="71"/>
      <c r="G12" s="86">
        <f t="shared" si="3"/>
        <v>38</v>
      </c>
    </row>
    <row r="13">
      <c r="A13" s="88">
        <v>5.0</v>
      </c>
      <c r="B13" s="84" t="s">
        <v>152</v>
      </c>
      <c r="C13" s="77"/>
      <c r="D13" s="77">
        <f>sum(D66:D74)</f>
        <v>28</v>
      </c>
      <c r="E13" s="78">
        <f t="shared" si="2"/>
        <v>28</v>
      </c>
      <c r="F13" s="77"/>
      <c r="G13" s="86">
        <f t="shared" si="3"/>
        <v>38</v>
      </c>
    </row>
    <row r="14">
      <c r="A14" s="88">
        <v>6.0</v>
      </c>
      <c r="B14" s="84" t="s">
        <v>153</v>
      </c>
      <c r="C14" s="77"/>
      <c r="D14" s="77"/>
      <c r="E14" s="78">
        <f t="shared" si="2"/>
        <v>0</v>
      </c>
      <c r="F14" s="77"/>
      <c r="G14" s="86">
        <f t="shared" si="3"/>
        <v>38</v>
      </c>
    </row>
    <row r="15">
      <c r="A15" s="88">
        <v>7.0</v>
      </c>
      <c r="B15" s="84"/>
      <c r="C15" s="77"/>
      <c r="D15" s="77"/>
      <c r="E15" s="77"/>
      <c r="F15" s="77"/>
      <c r="G15" s="77"/>
    </row>
    <row r="16">
      <c r="A16" s="88">
        <v>8.0</v>
      </c>
      <c r="B16" s="84"/>
      <c r="C16" s="77"/>
      <c r="D16" s="77"/>
      <c r="E16" s="77"/>
      <c r="F16" s="77"/>
      <c r="G16" s="77"/>
    </row>
    <row r="17">
      <c r="A17" s="87">
        <v>9.0</v>
      </c>
      <c r="B17" s="85"/>
      <c r="C17" s="71"/>
      <c r="D17" s="71"/>
      <c r="E17" s="86"/>
      <c r="F17" s="71"/>
      <c r="G17" s="86"/>
    </row>
    <row r="18">
      <c r="A18" s="87">
        <v>10.0</v>
      </c>
      <c r="B18" s="85"/>
      <c r="C18" s="71"/>
      <c r="D18" s="71"/>
      <c r="E18" s="86"/>
      <c r="F18" s="71"/>
      <c r="G18" s="86"/>
    </row>
    <row r="19">
      <c r="A19" s="87">
        <v>11.0</v>
      </c>
      <c r="B19" s="85"/>
      <c r="C19" s="71"/>
      <c r="D19" s="71"/>
      <c r="E19" s="86"/>
      <c r="F19" s="71"/>
      <c r="G19" s="86"/>
    </row>
    <row r="20">
      <c r="A20" s="87">
        <v>13.0</v>
      </c>
      <c r="B20" s="85"/>
      <c r="C20" s="71"/>
      <c r="D20" s="71"/>
      <c r="E20" s="86"/>
      <c r="F20" s="71"/>
      <c r="G20" s="86"/>
    </row>
    <row r="21">
      <c r="A21" s="87">
        <v>14.0</v>
      </c>
      <c r="B21" s="85"/>
      <c r="C21" s="71"/>
      <c r="D21" s="71"/>
      <c r="E21" s="86"/>
      <c r="F21" s="71"/>
      <c r="G21" s="86"/>
    </row>
    <row r="22">
      <c r="A22" s="87">
        <v>15.0</v>
      </c>
      <c r="B22" s="85"/>
      <c r="C22" s="71"/>
      <c r="D22" s="71"/>
      <c r="E22" s="86"/>
      <c r="F22" s="71"/>
      <c r="G22" s="86"/>
    </row>
    <row r="24">
      <c r="A24" s="89" t="s">
        <v>154</v>
      </c>
      <c r="B24" s="90"/>
      <c r="C24" s="91"/>
      <c r="D24" s="91"/>
      <c r="E24" s="91"/>
      <c r="F24" s="91"/>
      <c r="G24" s="91"/>
    </row>
    <row r="25">
      <c r="A25" s="83"/>
      <c r="B25" s="75"/>
      <c r="C25" s="77"/>
      <c r="D25" s="77"/>
      <c r="E25" s="77"/>
      <c r="F25" s="77"/>
      <c r="G25" s="77"/>
    </row>
    <row r="26">
      <c r="A26" s="92">
        <f t="shared" ref="A26:B26" si="4">A9</f>
        <v>1</v>
      </c>
      <c r="B26" s="93" t="str">
        <f t="shared" si="4"/>
        <v>Deliver first increment of initialized software modules and an architecture plan</v>
      </c>
      <c r="C26" s="71"/>
      <c r="D26" s="71"/>
      <c r="E26" s="71"/>
      <c r="F26" s="71"/>
      <c r="G26" s="71"/>
    </row>
    <row r="27">
      <c r="A27" s="83"/>
      <c r="B27" s="94"/>
      <c r="C27" s="95" t="s">
        <v>155</v>
      </c>
      <c r="D27" s="95">
        <v>3.0</v>
      </c>
      <c r="E27" s="77"/>
      <c r="F27" s="95"/>
      <c r="G27" s="77"/>
    </row>
    <row r="28">
      <c r="A28" s="69"/>
      <c r="B28" s="70"/>
      <c r="C28" s="62" t="s">
        <v>156</v>
      </c>
      <c r="D28" s="96">
        <v>1.0</v>
      </c>
      <c r="E28" s="70"/>
      <c r="F28" s="96">
        <v>1.0</v>
      </c>
      <c r="G28" s="85"/>
    </row>
    <row r="29">
      <c r="A29" s="83"/>
      <c r="B29" s="94"/>
      <c r="C29" s="95" t="s">
        <v>157</v>
      </c>
      <c r="D29" s="95">
        <v>1.0</v>
      </c>
      <c r="E29" s="77"/>
      <c r="F29" s="95">
        <v>2.0</v>
      </c>
      <c r="G29" s="77"/>
    </row>
    <row r="30">
      <c r="A30" s="97"/>
      <c r="B30" s="98"/>
      <c r="C30" s="85" t="s">
        <v>158</v>
      </c>
      <c r="D30" s="96"/>
      <c r="E30" s="98"/>
      <c r="F30" s="96">
        <v>2.0</v>
      </c>
      <c r="G30" s="98"/>
    </row>
    <row r="31">
      <c r="A31" s="83"/>
      <c r="B31" s="94"/>
      <c r="C31" s="95" t="s">
        <v>159</v>
      </c>
      <c r="D31" s="99">
        <v>2.0</v>
      </c>
      <c r="E31" s="77"/>
      <c r="F31" s="99">
        <v>5.0</v>
      </c>
      <c r="G31" s="77"/>
    </row>
    <row r="32">
      <c r="A32" s="97"/>
      <c r="B32" s="98"/>
      <c r="C32" s="85" t="s">
        <v>160</v>
      </c>
      <c r="D32" s="96">
        <v>1.0</v>
      </c>
      <c r="E32" s="98"/>
      <c r="F32" s="96">
        <v>1.0</v>
      </c>
      <c r="G32" s="98"/>
    </row>
    <row r="33">
      <c r="A33" s="83"/>
      <c r="B33" s="94"/>
      <c r="C33" s="95" t="s">
        <v>161</v>
      </c>
      <c r="D33" s="78"/>
      <c r="E33" s="77"/>
      <c r="F33" s="78"/>
      <c r="G33" s="77"/>
    </row>
    <row r="34">
      <c r="A34" s="97"/>
      <c r="B34" s="98"/>
      <c r="C34" s="85" t="s">
        <v>162</v>
      </c>
      <c r="D34" s="96">
        <v>2.0</v>
      </c>
      <c r="E34" s="98"/>
      <c r="F34" s="96">
        <v>2.0</v>
      </c>
      <c r="G34" s="98"/>
    </row>
    <row r="35">
      <c r="A35" s="83"/>
      <c r="B35" s="94"/>
      <c r="C35" s="77"/>
      <c r="D35" s="78"/>
      <c r="E35" s="77"/>
      <c r="F35" s="78"/>
      <c r="G35" s="77"/>
    </row>
    <row r="36">
      <c r="A36" s="92">
        <f t="shared" ref="A36:B36" si="5">A10</f>
        <v>2</v>
      </c>
      <c r="B36" s="93" t="str">
        <f t="shared" si="5"/>
        <v>Deliver increment with Build process implementation and first module prototypes</v>
      </c>
      <c r="C36" s="71"/>
      <c r="D36" s="71"/>
      <c r="E36" s="71"/>
      <c r="F36" s="71"/>
      <c r="G36" s="71"/>
    </row>
    <row r="37">
      <c r="A37" s="83"/>
      <c r="B37" s="94"/>
      <c r="C37" s="95" t="s">
        <v>163</v>
      </c>
      <c r="D37" s="95">
        <v>5.0</v>
      </c>
      <c r="E37" s="77"/>
      <c r="F37" s="95">
        <v>3.0</v>
      </c>
      <c r="G37" s="77"/>
    </row>
    <row r="38">
      <c r="A38" s="97"/>
      <c r="B38" s="98"/>
      <c r="C38" s="85" t="s">
        <v>164</v>
      </c>
      <c r="D38" s="96">
        <v>2.0</v>
      </c>
      <c r="E38" s="98"/>
      <c r="F38" s="85">
        <v>2.0</v>
      </c>
      <c r="G38" s="98"/>
    </row>
    <row r="39">
      <c r="A39" s="83"/>
      <c r="B39" s="94"/>
      <c r="C39" s="95" t="s">
        <v>165</v>
      </c>
      <c r="D39" s="99">
        <v>3.0</v>
      </c>
      <c r="E39" s="77"/>
      <c r="F39" s="95">
        <v>3.0</v>
      </c>
      <c r="G39" s="77"/>
    </row>
    <row r="40">
      <c r="A40" s="97"/>
      <c r="B40" s="98"/>
      <c r="C40" s="100" t="s">
        <v>166</v>
      </c>
      <c r="D40" s="96">
        <v>3.0</v>
      </c>
      <c r="E40" s="98"/>
      <c r="F40" s="85">
        <v>3.0</v>
      </c>
      <c r="G40" s="98"/>
    </row>
    <row r="41">
      <c r="A41" s="83"/>
      <c r="B41" s="94"/>
      <c r="C41" s="95" t="s">
        <v>167</v>
      </c>
      <c r="D41" s="95">
        <v>2.0</v>
      </c>
      <c r="E41" s="77"/>
      <c r="F41" s="95">
        <v>2.0</v>
      </c>
      <c r="G41" s="77"/>
    </row>
    <row r="42">
      <c r="A42" s="97"/>
      <c r="B42" s="98"/>
      <c r="C42" s="85" t="s">
        <v>168</v>
      </c>
      <c r="D42" s="96">
        <v>3.0</v>
      </c>
      <c r="E42" s="98"/>
      <c r="F42" s="85">
        <v>3.0</v>
      </c>
      <c r="G42" s="98"/>
    </row>
    <row r="43">
      <c r="A43" s="83"/>
      <c r="B43" s="94"/>
      <c r="C43" s="77"/>
      <c r="D43" s="78"/>
      <c r="E43" s="77"/>
      <c r="F43" s="77"/>
      <c r="G43" s="77"/>
    </row>
    <row r="44">
      <c r="A44" s="97"/>
      <c r="B44" s="98"/>
      <c r="C44" s="98"/>
      <c r="D44" s="86"/>
      <c r="E44" s="98"/>
      <c r="F44" s="98"/>
      <c r="G44" s="98"/>
    </row>
    <row r="45">
      <c r="A45" s="83"/>
      <c r="B45" s="94"/>
      <c r="C45" s="77"/>
      <c r="D45" s="78"/>
      <c r="E45" s="77"/>
      <c r="F45" s="77"/>
      <c r="G45" s="77"/>
    </row>
    <row r="46">
      <c r="A46" s="97"/>
      <c r="B46" s="98"/>
      <c r="C46" s="71"/>
      <c r="D46" s="86"/>
      <c r="E46" s="98"/>
      <c r="F46" s="98"/>
      <c r="G46" s="98"/>
    </row>
    <row r="47">
      <c r="A47" s="92">
        <f t="shared" ref="A47:B47" si="6">A11</f>
        <v>3</v>
      </c>
      <c r="B47" s="93" t="str">
        <f t="shared" si="6"/>
        <v>Deliver increment with broad prototype implementation coverage</v>
      </c>
      <c r="C47" s="71"/>
      <c r="D47" s="71"/>
      <c r="E47" s="71"/>
      <c r="F47" s="71"/>
      <c r="G47" s="71"/>
    </row>
    <row r="48">
      <c r="A48" s="83"/>
      <c r="B48" s="94"/>
      <c r="C48" s="95" t="s">
        <v>169</v>
      </c>
      <c r="D48" s="95">
        <v>5.0</v>
      </c>
      <c r="E48" s="77"/>
      <c r="F48" s="95">
        <v>3.0</v>
      </c>
      <c r="G48" s="77"/>
    </row>
    <row r="49">
      <c r="A49" s="97"/>
      <c r="B49" s="98"/>
      <c r="C49" s="85" t="s">
        <v>170</v>
      </c>
      <c r="D49" s="96">
        <v>3.0</v>
      </c>
      <c r="E49" s="98"/>
      <c r="F49" s="85">
        <v>2.0</v>
      </c>
      <c r="G49" s="98"/>
    </row>
    <row r="50">
      <c r="A50" s="83"/>
      <c r="B50" s="94"/>
      <c r="C50" s="95" t="s">
        <v>171</v>
      </c>
      <c r="D50" s="95">
        <v>2.0</v>
      </c>
      <c r="E50" s="77"/>
      <c r="F50" s="95">
        <v>2.0</v>
      </c>
      <c r="G50" s="77"/>
    </row>
    <row r="51">
      <c r="A51" s="97"/>
      <c r="B51" s="98"/>
      <c r="C51" s="85" t="s">
        <v>172</v>
      </c>
      <c r="D51" s="96">
        <v>2.0</v>
      </c>
      <c r="E51" s="98"/>
      <c r="F51" s="85">
        <v>2.0</v>
      </c>
      <c r="G51" s="98"/>
    </row>
    <row r="52">
      <c r="A52" s="97"/>
      <c r="B52" s="98"/>
      <c r="C52" s="100" t="s">
        <v>173</v>
      </c>
      <c r="D52" s="96">
        <v>3.0</v>
      </c>
      <c r="E52" s="98"/>
      <c r="F52" s="98"/>
      <c r="G52" s="98"/>
    </row>
    <row r="53">
      <c r="A53" s="97"/>
      <c r="B53" s="98"/>
      <c r="C53" s="100" t="s">
        <v>174</v>
      </c>
      <c r="D53" s="96">
        <v>2.0</v>
      </c>
      <c r="E53" s="98"/>
      <c r="F53" s="85">
        <v>2.0</v>
      </c>
      <c r="G53" s="98"/>
    </row>
    <row r="54">
      <c r="A54" s="97"/>
      <c r="B54" s="98"/>
      <c r="C54" s="100" t="s">
        <v>175</v>
      </c>
      <c r="D54" s="96">
        <v>1.0</v>
      </c>
      <c r="E54" s="98"/>
      <c r="F54" s="85">
        <v>1.0</v>
      </c>
      <c r="G54" s="98"/>
    </row>
    <row r="55">
      <c r="A55" s="101" t="str">
        <f t="shared" ref="A55:B55" si="7">A25</f>
        <v/>
      </c>
      <c r="B55" s="101" t="str">
        <f t="shared" si="7"/>
        <v/>
      </c>
      <c r="C55" s="5"/>
      <c r="D55" s="5"/>
      <c r="E55" s="5"/>
      <c r="F55" s="5"/>
      <c r="G55" s="5"/>
    </row>
    <row r="56">
      <c r="A56" s="92">
        <f t="shared" ref="A56:B56" si="8">A12</f>
        <v>4</v>
      </c>
      <c r="B56" s="93" t="str">
        <f t="shared" si="8"/>
        <v>Deliver increment with first component integrations implemented</v>
      </c>
      <c r="C56" s="71"/>
      <c r="D56" s="71"/>
      <c r="E56" s="71"/>
      <c r="F56" s="71"/>
      <c r="G56" s="71"/>
    </row>
    <row r="57">
      <c r="A57" s="83"/>
      <c r="B57" s="94"/>
      <c r="C57" s="95" t="s">
        <v>169</v>
      </c>
      <c r="D57" s="95">
        <v>5.0</v>
      </c>
      <c r="E57" s="77"/>
      <c r="F57" s="95">
        <v>3.0</v>
      </c>
      <c r="G57" s="77"/>
    </row>
    <row r="58">
      <c r="A58" s="97"/>
      <c r="B58" s="98"/>
      <c r="C58" s="85" t="s">
        <v>170</v>
      </c>
      <c r="D58" s="96">
        <v>3.0</v>
      </c>
      <c r="E58" s="98"/>
      <c r="F58" s="85">
        <v>2.0</v>
      </c>
      <c r="G58" s="98"/>
    </row>
    <row r="59">
      <c r="A59" s="83"/>
      <c r="B59" s="94"/>
      <c r="C59" s="95" t="s">
        <v>171</v>
      </c>
      <c r="D59" s="95">
        <v>2.0</v>
      </c>
      <c r="E59" s="77"/>
      <c r="F59" s="95">
        <v>2.0</v>
      </c>
      <c r="G59" s="77"/>
    </row>
    <row r="60">
      <c r="A60" s="97"/>
      <c r="B60" s="98"/>
      <c r="C60" s="85" t="s">
        <v>172</v>
      </c>
      <c r="D60" s="96">
        <v>2.0</v>
      </c>
      <c r="E60" s="98"/>
      <c r="F60" s="85">
        <v>2.0</v>
      </c>
      <c r="G60" s="98"/>
    </row>
    <row r="61">
      <c r="A61" s="5"/>
      <c r="B61" s="5"/>
      <c r="C61" s="102" t="s">
        <v>176</v>
      </c>
      <c r="D61" s="103">
        <v>3.0</v>
      </c>
      <c r="E61" s="5"/>
      <c r="F61" s="5"/>
      <c r="G61" s="5"/>
    </row>
    <row r="62">
      <c r="A62" s="5"/>
      <c r="B62" s="5"/>
      <c r="C62" s="102" t="s">
        <v>177</v>
      </c>
      <c r="D62" s="103">
        <v>1.0</v>
      </c>
      <c r="E62" s="5"/>
      <c r="F62" s="7">
        <v>2.0</v>
      </c>
      <c r="G62" s="5"/>
    </row>
    <row r="63">
      <c r="A63" s="5"/>
      <c r="B63" s="5"/>
      <c r="C63" s="102"/>
      <c r="D63" s="103"/>
      <c r="E63" s="5"/>
      <c r="F63" s="7"/>
      <c r="G63" s="5"/>
    </row>
    <row r="64">
      <c r="A64" s="97"/>
      <c r="B64" s="98"/>
      <c r="C64" s="98"/>
      <c r="D64" s="86"/>
      <c r="E64" s="98"/>
      <c r="F64" s="98"/>
      <c r="G64" s="98"/>
    </row>
    <row r="65">
      <c r="A65" s="92">
        <f>A13</f>
        <v>5</v>
      </c>
      <c r="B65" s="84" t="s">
        <v>178</v>
      </c>
      <c r="C65" s="71"/>
      <c r="D65" s="71"/>
      <c r="E65" s="71"/>
      <c r="F65" s="71"/>
      <c r="G65" s="71"/>
    </row>
    <row r="66">
      <c r="A66" s="83"/>
      <c r="B66" s="94"/>
      <c r="C66" s="95" t="s">
        <v>169</v>
      </c>
      <c r="D66" s="95">
        <v>5.0</v>
      </c>
      <c r="E66" s="77"/>
      <c r="F66" s="95"/>
      <c r="G66" s="77"/>
    </row>
    <row r="67">
      <c r="A67" s="97"/>
      <c r="B67" s="98"/>
      <c r="C67" s="85" t="s">
        <v>170</v>
      </c>
      <c r="D67" s="96">
        <v>3.0</v>
      </c>
      <c r="E67" s="98"/>
      <c r="F67" s="85"/>
      <c r="G67" s="98"/>
    </row>
    <row r="68">
      <c r="A68" s="83"/>
      <c r="B68" s="94"/>
      <c r="C68" s="95" t="s">
        <v>171</v>
      </c>
      <c r="D68" s="95">
        <v>2.0</v>
      </c>
      <c r="E68" s="77"/>
      <c r="F68" s="95"/>
      <c r="G68" s="77"/>
    </row>
    <row r="69">
      <c r="A69" s="97"/>
      <c r="B69" s="98"/>
      <c r="C69" s="85" t="s">
        <v>172</v>
      </c>
      <c r="D69" s="96">
        <v>2.0</v>
      </c>
      <c r="E69" s="98"/>
      <c r="F69" s="85"/>
      <c r="G69" s="98"/>
    </row>
    <row r="70">
      <c r="A70" s="5"/>
      <c r="B70" s="5"/>
      <c r="C70" s="102" t="s">
        <v>179</v>
      </c>
      <c r="D70" s="103">
        <v>2.0</v>
      </c>
      <c r="E70" s="5"/>
      <c r="F70" s="5"/>
      <c r="G70" s="5"/>
    </row>
    <row r="71">
      <c r="A71" s="5"/>
      <c r="B71" s="5"/>
      <c r="C71" s="102" t="s">
        <v>180</v>
      </c>
      <c r="D71" s="103">
        <v>3.0</v>
      </c>
      <c r="E71" s="5"/>
      <c r="F71" s="5"/>
      <c r="G71" s="5"/>
    </row>
    <row r="72">
      <c r="A72" s="5"/>
      <c r="B72" s="5"/>
      <c r="C72" s="102" t="s">
        <v>176</v>
      </c>
      <c r="D72" s="103">
        <v>3.0</v>
      </c>
      <c r="E72" s="5"/>
      <c r="F72" s="5"/>
      <c r="G72" s="5"/>
    </row>
    <row r="73">
      <c r="A73" s="5"/>
      <c r="B73" s="5"/>
      <c r="C73" s="102" t="s">
        <v>181</v>
      </c>
      <c r="D73" s="103">
        <v>5.0</v>
      </c>
      <c r="E73" s="5"/>
      <c r="F73" s="5"/>
      <c r="G73" s="5"/>
    </row>
    <row r="74">
      <c r="A74" s="5"/>
      <c r="B74" s="5"/>
      <c r="C74" s="102" t="s">
        <v>182</v>
      </c>
      <c r="D74" s="103">
        <v>3.0</v>
      </c>
      <c r="E74" s="5"/>
      <c r="F74" s="5"/>
      <c r="G74" s="5"/>
    </row>
    <row r="75">
      <c r="A75" s="97"/>
      <c r="B75" s="98"/>
      <c r="C75" s="98"/>
      <c r="D75" s="86"/>
      <c r="E75" s="98"/>
      <c r="F75" s="98"/>
      <c r="G75" s="98"/>
    </row>
    <row r="76">
      <c r="A76" s="92">
        <f>A14</f>
        <v>6</v>
      </c>
      <c r="B76" s="84" t="s">
        <v>153</v>
      </c>
      <c r="C76" s="71"/>
      <c r="D76" s="71"/>
      <c r="E76" s="71"/>
      <c r="F76" s="71"/>
      <c r="G76" s="71"/>
    </row>
    <row r="77">
      <c r="A77" s="83"/>
      <c r="B77" s="94"/>
      <c r="C77" s="95" t="s">
        <v>183</v>
      </c>
      <c r="D77" s="95"/>
      <c r="E77" s="77"/>
      <c r="F77" s="95"/>
      <c r="G77" s="77"/>
    </row>
    <row r="78">
      <c r="A78" s="97"/>
      <c r="B78" s="98"/>
      <c r="C78" s="85" t="s">
        <v>184</v>
      </c>
      <c r="D78" s="96"/>
      <c r="E78" s="98"/>
      <c r="F78" s="85"/>
      <c r="G78" s="98"/>
    </row>
    <row r="79">
      <c r="A79" s="83"/>
      <c r="B79" s="94"/>
      <c r="C79" s="95" t="s">
        <v>185</v>
      </c>
      <c r="D79" s="95"/>
      <c r="E79" s="77"/>
      <c r="F79" s="95"/>
      <c r="G79" s="77"/>
    </row>
    <row r="80">
      <c r="A80" s="97"/>
      <c r="B80" s="98"/>
      <c r="C80" s="85" t="s">
        <v>186</v>
      </c>
      <c r="D80" s="96"/>
      <c r="E80" s="98"/>
      <c r="F80" s="85"/>
      <c r="G80" s="98"/>
    </row>
    <row r="81">
      <c r="A81" s="5"/>
      <c r="B81" s="5"/>
      <c r="C81" s="102" t="s">
        <v>187</v>
      </c>
      <c r="D81" s="103"/>
      <c r="E81" s="5"/>
      <c r="F81" s="5"/>
      <c r="G81" s="5"/>
    </row>
    <row r="82">
      <c r="A82" s="5"/>
      <c r="B82" s="5"/>
      <c r="C82" s="102" t="s">
        <v>188</v>
      </c>
      <c r="D82" s="103"/>
      <c r="E82" s="5"/>
      <c r="F82" s="5"/>
      <c r="G82" s="5"/>
    </row>
    <row r="83">
      <c r="A83" s="5"/>
      <c r="B83" s="5"/>
      <c r="C83" s="102" t="s">
        <v>189</v>
      </c>
      <c r="D83" s="103"/>
      <c r="E83" s="5"/>
      <c r="F83" s="5"/>
      <c r="G83" s="5"/>
    </row>
    <row r="84">
      <c r="A84" s="5"/>
      <c r="B84" s="5"/>
      <c r="C84" s="102"/>
      <c r="D84" s="103"/>
      <c r="E84" s="5"/>
      <c r="F84" s="5"/>
      <c r="G84" s="5"/>
    </row>
    <row r="85">
      <c r="A85" s="5"/>
      <c r="B85" s="5"/>
      <c r="C85" s="102"/>
      <c r="D85" s="103"/>
      <c r="E85" s="5"/>
      <c r="F85" s="5"/>
      <c r="G85" s="5"/>
    </row>
    <row r="86">
      <c r="A86" s="83"/>
      <c r="B86" s="94"/>
      <c r="C86" s="104" t="s">
        <v>190</v>
      </c>
      <c r="D86" s="78"/>
      <c r="E86" s="77"/>
      <c r="F86" s="77"/>
      <c r="G86" s="77"/>
    </row>
    <row r="87">
      <c r="A87" s="97"/>
      <c r="B87" s="98"/>
      <c r="C87" s="71"/>
      <c r="D87" s="71"/>
      <c r="E87" s="71"/>
      <c r="F87" s="71"/>
      <c r="G87" s="71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2" t="s">
        <v>191</v>
      </c>
      <c r="B23">
        <f>'Velocity Tracking'!C2</f>
        <v>17.25</v>
      </c>
      <c r="C23" s="62" t="s">
        <v>135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65" t="s">
        <v>136</v>
      </c>
      <c r="B1" s="105" t="s">
        <v>137</v>
      </c>
      <c r="C1" s="67" t="s">
        <v>138</v>
      </c>
      <c r="D1" s="68" t="s">
        <v>139</v>
      </c>
      <c r="E1" s="68" t="s">
        <v>140</v>
      </c>
      <c r="F1" s="68" t="s">
        <v>141</v>
      </c>
      <c r="G1" s="68" t="s">
        <v>142</v>
      </c>
    </row>
    <row r="2">
      <c r="A2" s="69"/>
      <c r="B2" s="71"/>
      <c r="C2" s="71"/>
      <c r="D2" s="71"/>
      <c r="E2" s="71"/>
      <c r="F2" s="71"/>
      <c r="G2" s="71"/>
    </row>
    <row r="3">
      <c r="A3" s="72" t="s">
        <v>143</v>
      </c>
      <c r="B3" s="74"/>
      <c r="C3" s="74"/>
      <c r="D3" s="74"/>
      <c r="E3" s="74"/>
      <c r="F3" s="74"/>
      <c r="G3" s="74"/>
    </row>
    <row r="4">
      <c r="A4" s="69"/>
      <c r="B4" s="71"/>
      <c r="C4" s="71"/>
      <c r="D4" s="71"/>
      <c r="E4" s="71"/>
      <c r="F4" s="71"/>
      <c r="G4" s="71"/>
    </row>
    <row r="5">
      <c r="A5" s="75" t="s">
        <v>144</v>
      </c>
      <c r="B5" s="77"/>
      <c r="C5" s="77"/>
      <c r="D5" s="78">
        <f>sum(D8:D13)</f>
        <v>0</v>
      </c>
      <c r="E5" s="78">
        <f>D5</f>
        <v>0</v>
      </c>
      <c r="F5" s="77"/>
      <c r="G5" s="77"/>
    </row>
    <row r="6">
      <c r="A6" s="69"/>
      <c r="B6" s="71"/>
      <c r="C6" s="71"/>
      <c r="D6" s="71"/>
      <c r="E6" s="71"/>
      <c r="F6" s="71"/>
      <c r="G6" s="71"/>
    </row>
    <row r="7">
      <c r="A7" s="79" t="s">
        <v>145</v>
      </c>
      <c r="B7" s="106"/>
      <c r="C7" s="81"/>
      <c r="D7" s="81"/>
      <c r="E7" s="81"/>
      <c r="F7" s="81"/>
      <c r="G7" s="81"/>
    </row>
    <row r="8">
      <c r="A8" s="69"/>
      <c r="B8" s="71"/>
      <c r="C8" s="71"/>
      <c r="D8" s="71"/>
      <c r="E8" s="82" t="s">
        <v>146</v>
      </c>
      <c r="F8" s="71"/>
      <c r="G8" s="82" t="s">
        <v>147</v>
      </c>
    </row>
    <row r="9">
      <c r="A9" s="83">
        <v>1.0</v>
      </c>
      <c r="B9" s="77"/>
      <c r="C9" s="77"/>
      <c r="D9" s="78">
        <f>sum(D16:D21)</f>
        <v>0</v>
      </c>
      <c r="E9" s="78">
        <f>$D$5</f>
        <v>0</v>
      </c>
      <c r="F9" s="78">
        <f>sum(F16:F21)</f>
        <v>0</v>
      </c>
      <c r="G9" s="78">
        <f>$D$5</f>
        <v>0</v>
      </c>
    </row>
    <row r="10">
      <c r="A10" s="69">
        <f t="shared" ref="A10:A11" si="1">A9+1</f>
        <v>2</v>
      </c>
      <c r="B10" s="71"/>
      <c r="C10" s="71"/>
      <c r="D10" s="86">
        <f>sum(D22:D27)</f>
        <v>0</v>
      </c>
      <c r="E10" s="86">
        <f t="shared" ref="E10:E12" si="2">E9-D9</f>
        <v>0</v>
      </c>
      <c r="F10" s="86">
        <f>sum(F22:F27)</f>
        <v>0</v>
      </c>
      <c r="G10" s="86">
        <f t="shared" ref="G10:G12" si="3">G9-F9</f>
        <v>0</v>
      </c>
    </row>
    <row r="11">
      <c r="A11" s="83">
        <f t="shared" si="1"/>
        <v>3</v>
      </c>
      <c r="B11" s="77"/>
      <c r="C11" s="77"/>
      <c r="D11" s="78">
        <f>sum(D28:D33)</f>
        <v>0</v>
      </c>
      <c r="E11" s="78">
        <f t="shared" si="2"/>
        <v>0</v>
      </c>
      <c r="F11" s="78">
        <f>sum(F28:F33)</f>
        <v>0</v>
      </c>
      <c r="G11" s="78">
        <f t="shared" si="3"/>
        <v>0</v>
      </c>
    </row>
    <row r="12">
      <c r="A12" s="87" t="s">
        <v>1</v>
      </c>
      <c r="B12" s="71"/>
      <c r="C12" s="71"/>
      <c r="D12" s="71"/>
      <c r="E12" s="86">
        <f t="shared" si="2"/>
        <v>0</v>
      </c>
      <c r="F12" s="71"/>
      <c r="G12" s="86">
        <f t="shared" si="3"/>
        <v>0</v>
      </c>
    </row>
    <row r="13">
      <c r="A13" s="83"/>
      <c r="B13" s="77"/>
      <c r="C13" s="77"/>
      <c r="D13" s="77"/>
      <c r="E13" s="77"/>
      <c r="F13" s="77"/>
      <c r="G13" s="77"/>
    </row>
    <row r="14">
      <c r="A14" s="89" t="s">
        <v>154</v>
      </c>
      <c r="B14" s="90"/>
      <c r="C14" s="91"/>
      <c r="D14" s="91"/>
      <c r="E14" s="91"/>
      <c r="F14" s="91"/>
      <c r="G14" s="91"/>
    </row>
    <row r="15">
      <c r="A15" s="83"/>
      <c r="B15" s="77"/>
      <c r="C15" s="77"/>
      <c r="D15" s="77"/>
      <c r="E15" s="77"/>
      <c r="F15" s="77"/>
      <c r="G15" s="77"/>
    </row>
    <row r="16">
      <c r="A16" s="92">
        <f>A9</f>
        <v>1</v>
      </c>
      <c r="B16" s="71"/>
      <c r="C16" s="71"/>
      <c r="D16" s="71"/>
      <c r="E16" s="71"/>
      <c r="F16" s="71"/>
      <c r="G16" s="71"/>
    </row>
    <row r="17">
      <c r="A17" s="83"/>
      <c r="B17" s="94"/>
      <c r="C17" s="77"/>
      <c r="D17" s="77"/>
      <c r="E17" s="77"/>
      <c r="F17" s="77"/>
      <c r="G17" s="77"/>
    </row>
    <row r="18">
      <c r="A18" s="69"/>
      <c r="B18" s="107"/>
      <c r="C18" s="98"/>
      <c r="D18" s="108"/>
      <c r="E18" s="70"/>
      <c r="F18" s="108"/>
      <c r="G18" s="70"/>
    </row>
    <row r="19">
      <c r="A19" s="83"/>
      <c r="B19" s="77"/>
      <c r="C19" s="77"/>
      <c r="D19" s="78"/>
      <c r="E19" s="77"/>
      <c r="F19" s="78"/>
      <c r="G19" s="77"/>
    </row>
    <row r="20">
      <c r="A20" s="97"/>
      <c r="B20" s="71"/>
      <c r="C20" s="98"/>
      <c r="D20" s="86"/>
      <c r="E20" s="98"/>
      <c r="F20" s="86"/>
      <c r="G20" s="98"/>
    </row>
    <row r="21">
      <c r="A21" s="83"/>
      <c r="B21" s="77"/>
      <c r="C21" s="77"/>
      <c r="D21" s="78"/>
      <c r="E21" s="77"/>
      <c r="F21" s="78"/>
      <c r="G21" s="77"/>
    </row>
    <row r="22">
      <c r="A22" s="92">
        <f>A10</f>
        <v>2</v>
      </c>
      <c r="B22" s="71"/>
      <c r="C22" s="71"/>
      <c r="D22" s="71"/>
      <c r="E22" s="71"/>
      <c r="F22" s="71"/>
      <c r="G22" s="71"/>
    </row>
    <row r="23">
      <c r="A23" s="83"/>
      <c r="B23" s="94"/>
      <c r="C23" s="77"/>
      <c r="D23" s="77"/>
      <c r="E23" s="77"/>
      <c r="F23" s="77"/>
      <c r="G23" s="77"/>
    </row>
    <row r="24">
      <c r="A24" s="97"/>
      <c r="B24" s="71"/>
      <c r="C24" s="98"/>
      <c r="D24" s="86"/>
      <c r="E24" s="98"/>
      <c r="F24" s="86"/>
      <c r="G24" s="98"/>
    </row>
    <row r="25">
      <c r="A25" s="83"/>
      <c r="B25" s="77"/>
      <c r="C25" s="77"/>
      <c r="D25" s="78"/>
      <c r="E25" s="77"/>
      <c r="F25" s="78"/>
      <c r="G25" s="77"/>
    </row>
    <row r="26">
      <c r="A26" s="97"/>
      <c r="B26" s="71"/>
      <c r="C26" s="98"/>
      <c r="D26" s="86"/>
      <c r="E26" s="98"/>
      <c r="F26" s="86"/>
      <c r="G26" s="98"/>
    </row>
    <row r="27">
      <c r="A27" s="83"/>
      <c r="B27" s="77"/>
      <c r="C27" s="77"/>
      <c r="D27" s="78"/>
      <c r="E27" s="77"/>
      <c r="F27" s="78"/>
      <c r="G27" s="77"/>
    </row>
    <row r="28">
      <c r="A28" s="92">
        <f>A11</f>
        <v>3</v>
      </c>
      <c r="B28" s="71"/>
      <c r="C28" s="71"/>
      <c r="D28" s="71"/>
      <c r="E28" s="71"/>
      <c r="F28" s="71"/>
      <c r="G28" s="71"/>
    </row>
    <row r="29">
      <c r="A29" s="83"/>
      <c r="B29" s="94"/>
      <c r="C29" s="77"/>
      <c r="D29" s="77"/>
      <c r="E29" s="77"/>
      <c r="F29" s="77"/>
      <c r="G29" s="77"/>
    </row>
    <row r="30">
      <c r="A30" s="97"/>
      <c r="B30" s="71"/>
      <c r="C30" s="98"/>
      <c r="D30" s="86"/>
      <c r="E30" s="98"/>
      <c r="F30" s="98"/>
      <c r="G30" s="98"/>
    </row>
    <row r="31">
      <c r="A31" s="83"/>
      <c r="B31" s="77"/>
      <c r="C31" s="77"/>
      <c r="D31" s="78"/>
      <c r="E31" s="77"/>
      <c r="F31" s="77"/>
      <c r="G31" s="77"/>
    </row>
    <row r="32">
      <c r="A32" s="97"/>
      <c r="B32" s="71"/>
      <c r="C32" s="71"/>
      <c r="D32" s="86"/>
      <c r="E32" s="98"/>
      <c r="F32" s="98"/>
      <c r="G32" s="98"/>
    </row>
    <row r="33">
      <c r="A33" s="83"/>
      <c r="B33" s="77"/>
      <c r="C33" s="104" t="s">
        <v>190</v>
      </c>
      <c r="D33" s="78"/>
      <c r="E33" s="77"/>
      <c r="F33" s="77"/>
      <c r="G33" s="77"/>
    </row>
    <row r="34">
      <c r="A34" s="97"/>
      <c r="B34" s="71"/>
      <c r="C34" s="71"/>
      <c r="D34" s="71"/>
      <c r="E34" s="71"/>
      <c r="F34" s="71"/>
      <c r="G34" s="71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09" t="s">
        <v>57</v>
      </c>
      <c r="B1" s="110" t="s">
        <v>192</v>
      </c>
      <c r="C1" s="110" t="s">
        <v>193</v>
      </c>
      <c r="D1" s="111" t="s">
        <v>194</v>
      </c>
    </row>
    <row r="2">
      <c r="A2" s="112" t="s">
        <v>195</v>
      </c>
      <c r="B2" s="113" t="s">
        <v>196</v>
      </c>
      <c r="C2" s="114" t="s">
        <v>197</v>
      </c>
      <c r="D2" s="114" t="s">
        <v>198</v>
      </c>
    </row>
    <row r="3">
      <c r="A3" s="115" t="s">
        <v>199</v>
      </c>
      <c r="B3" s="116" t="s">
        <v>200</v>
      </c>
      <c r="C3" s="117" t="s">
        <v>201</v>
      </c>
      <c r="D3" s="117" t="s">
        <v>202</v>
      </c>
    </row>
    <row r="4">
      <c r="A4" s="118" t="s">
        <v>203</v>
      </c>
      <c r="B4" s="119" t="s">
        <v>204</v>
      </c>
      <c r="C4" s="117" t="s">
        <v>205</v>
      </c>
      <c r="D4" s="117" t="s">
        <v>206</v>
      </c>
    </row>
    <row r="5">
      <c r="A5" s="117" t="s">
        <v>207</v>
      </c>
      <c r="B5" s="117" t="s">
        <v>208</v>
      </c>
      <c r="C5" s="117" t="s">
        <v>209</v>
      </c>
      <c r="D5" s="117" t="s">
        <v>210</v>
      </c>
    </row>
    <row r="6">
      <c r="A6" s="117" t="s">
        <v>211</v>
      </c>
      <c r="B6" s="117" t="s">
        <v>212</v>
      </c>
      <c r="C6" s="117" t="s">
        <v>213</v>
      </c>
      <c r="D6" s="117" t="s">
        <v>214</v>
      </c>
    </row>
    <row r="7">
      <c r="A7" s="117" t="s">
        <v>215</v>
      </c>
      <c r="B7" s="117" t="s">
        <v>216</v>
      </c>
      <c r="C7" s="117" t="s">
        <v>217</v>
      </c>
      <c r="D7" s="117" t="s">
        <v>218</v>
      </c>
    </row>
    <row r="8">
      <c r="A8" s="117" t="s">
        <v>219</v>
      </c>
      <c r="B8" s="117" t="s">
        <v>220</v>
      </c>
      <c r="C8" s="117" t="s">
        <v>221</v>
      </c>
      <c r="D8" s="117" t="s">
        <v>222</v>
      </c>
    </row>
    <row r="9">
      <c r="A9" s="117" t="s">
        <v>223</v>
      </c>
      <c r="B9" s="117" t="s">
        <v>224</v>
      </c>
      <c r="C9" s="117" t="s">
        <v>225</v>
      </c>
      <c r="D9" s="117" t="s">
        <v>226</v>
      </c>
    </row>
    <row r="10">
      <c r="A10" s="120"/>
      <c r="B10" s="120"/>
      <c r="C10" s="120"/>
      <c r="D10" s="120"/>
    </row>
    <row r="11">
      <c r="A11" s="120"/>
      <c r="B11" s="120"/>
      <c r="C11" s="120"/>
      <c r="D11" s="120"/>
    </row>
    <row r="12">
      <c r="A12" s="120"/>
      <c r="B12" s="120"/>
      <c r="C12" s="120"/>
      <c r="D12" s="120"/>
    </row>
    <row r="13">
      <c r="A13" s="120"/>
      <c r="B13" s="120"/>
      <c r="C13" s="120"/>
      <c r="D13" s="120"/>
    </row>
    <row r="14">
      <c r="A14" s="120"/>
      <c r="B14" s="120"/>
      <c r="C14" s="120"/>
      <c r="D14" s="120"/>
    </row>
    <row r="15">
      <c r="A15" s="120"/>
      <c r="B15" s="120"/>
      <c r="C15" s="120"/>
      <c r="D15" s="120"/>
    </row>
    <row r="16">
      <c r="A16" s="120"/>
      <c r="B16" s="120"/>
      <c r="C16" s="120"/>
      <c r="D16" s="120"/>
    </row>
    <row r="17">
      <c r="A17" s="120"/>
      <c r="B17" s="120"/>
      <c r="C17" s="120"/>
      <c r="D17" s="120"/>
    </row>
    <row r="18">
      <c r="A18" s="120"/>
      <c r="B18" s="120"/>
      <c r="C18" s="120"/>
      <c r="D18" s="120"/>
    </row>
    <row r="19">
      <c r="A19" s="120"/>
      <c r="B19" s="120"/>
      <c r="C19" s="120"/>
      <c r="D19" s="120"/>
    </row>
    <row r="20">
      <c r="A20" s="120"/>
      <c r="B20" s="120"/>
      <c r="C20" s="120"/>
      <c r="D20" s="120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227</v>
      </c>
      <c r="B1" s="3" t="s">
        <v>228</v>
      </c>
    </row>
    <row r="2">
      <c r="A2" s="2"/>
      <c r="B2" s="2"/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229</v>
      </c>
      <c r="C1" s="3" t="s">
        <v>230</v>
      </c>
      <c r="D1" s="3" t="s">
        <v>231</v>
      </c>
      <c r="E1" s="3" t="s">
        <v>232</v>
      </c>
      <c r="F1" s="3" t="s">
        <v>64</v>
      </c>
    </row>
    <row r="2">
      <c r="A2" s="121">
        <v>1.0</v>
      </c>
      <c r="B2" s="122" t="s">
        <v>233</v>
      </c>
      <c r="C2" s="122" t="s">
        <v>234</v>
      </c>
      <c r="D2" s="122" t="s">
        <v>235</v>
      </c>
      <c r="E2" s="123" t="s">
        <v>236</v>
      </c>
      <c r="F2" s="122" t="s">
        <v>237</v>
      </c>
    </row>
    <row r="3">
      <c r="A3" s="121">
        <v>2.0</v>
      </c>
      <c r="B3" s="122" t="s">
        <v>233</v>
      </c>
      <c r="C3" s="122" t="s">
        <v>238</v>
      </c>
      <c r="D3" s="62" t="s">
        <v>239</v>
      </c>
      <c r="E3" s="123" t="s">
        <v>240</v>
      </c>
      <c r="F3" s="122" t="s">
        <v>241</v>
      </c>
    </row>
    <row r="4">
      <c r="A4" s="121">
        <v>3.0</v>
      </c>
      <c r="B4" s="122" t="s">
        <v>242</v>
      </c>
      <c r="C4" s="122" t="s">
        <v>243</v>
      </c>
      <c r="D4" s="122" t="s">
        <v>244</v>
      </c>
      <c r="E4" s="123" t="s">
        <v>240</v>
      </c>
      <c r="F4" s="122" t="s">
        <v>245</v>
      </c>
    </row>
    <row r="5">
      <c r="A5" s="124">
        <v>4.0</v>
      </c>
      <c r="B5" s="125" t="s">
        <v>246</v>
      </c>
      <c r="C5" s="125" t="s">
        <v>247</v>
      </c>
      <c r="D5" s="125" t="s">
        <v>248</v>
      </c>
      <c r="E5" s="125" t="s">
        <v>240</v>
      </c>
      <c r="F5" s="12" t="s">
        <v>249</v>
      </c>
    </row>
    <row r="6">
      <c r="A6" s="124">
        <v>5.0</v>
      </c>
      <c r="B6" s="125" t="s">
        <v>246</v>
      </c>
      <c r="C6" s="125" t="s">
        <v>250</v>
      </c>
      <c r="D6" s="125" t="s">
        <v>248</v>
      </c>
      <c r="E6" s="125" t="s">
        <v>240</v>
      </c>
      <c r="F6" s="12" t="s">
        <v>251</v>
      </c>
    </row>
    <row r="7">
      <c r="A7" s="124">
        <v>6.0</v>
      </c>
      <c r="B7" s="125" t="s">
        <v>246</v>
      </c>
      <c r="C7" s="125" t="s">
        <v>252</v>
      </c>
      <c r="D7" s="125" t="s">
        <v>253</v>
      </c>
      <c r="E7" s="125" t="s">
        <v>240</v>
      </c>
      <c r="F7" s="12" t="s">
        <v>254</v>
      </c>
    </row>
    <row r="8">
      <c r="A8" s="124">
        <v>7.0</v>
      </c>
      <c r="B8" s="125" t="s">
        <v>246</v>
      </c>
      <c r="C8" s="125" t="s">
        <v>255</v>
      </c>
      <c r="D8" s="125" t="s">
        <v>253</v>
      </c>
      <c r="E8" s="125" t="s">
        <v>240</v>
      </c>
      <c r="F8" s="125" t="s">
        <v>256</v>
      </c>
    </row>
    <row r="9">
      <c r="A9" s="124">
        <v>8.0</v>
      </c>
      <c r="B9" s="125" t="s">
        <v>246</v>
      </c>
      <c r="C9" s="125" t="s">
        <v>257</v>
      </c>
      <c r="D9" s="125" t="s">
        <v>253</v>
      </c>
      <c r="E9" s="125" t="s">
        <v>240</v>
      </c>
      <c r="F9" s="125" t="s">
        <v>258</v>
      </c>
    </row>
    <row r="10">
      <c r="A10" s="124">
        <v>9.0</v>
      </c>
      <c r="B10" s="125" t="s">
        <v>246</v>
      </c>
      <c r="C10" s="125" t="s">
        <v>259</v>
      </c>
      <c r="D10" s="125" t="s">
        <v>253</v>
      </c>
      <c r="E10" s="125" t="s">
        <v>240</v>
      </c>
      <c r="F10" s="125" t="s">
        <v>260</v>
      </c>
    </row>
    <row r="11">
      <c r="A11" s="124">
        <v>10.0</v>
      </c>
      <c r="B11" s="125" t="s">
        <v>246</v>
      </c>
      <c r="C11" s="125" t="s">
        <v>261</v>
      </c>
      <c r="D11" s="125" t="s">
        <v>248</v>
      </c>
      <c r="E11" s="125" t="s">
        <v>240</v>
      </c>
      <c r="F11" s="125" t="s">
        <v>262</v>
      </c>
    </row>
    <row r="12">
      <c r="A12" s="124">
        <v>11.0</v>
      </c>
      <c r="B12" s="125" t="s">
        <v>246</v>
      </c>
      <c r="C12" s="125" t="s">
        <v>263</v>
      </c>
      <c r="D12" s="125" t="s">
        <v>248</v>
      </c>
      <c r="E12" s="125" t="s">
        <v>240</v>
      </c>
      <c r="F12" s="125" t="s">
        <v>264</v>
      </c>
    </row>
    <row r="13">
      <c r="A13" s="124">
        <v>12.0</v>
      </c>
      <c r="B13" s="125" t="s">
        <v>246</v>
      </c>
      <c r="C13" s="125" t="s">
        <v>265</v>
      </c>
      <c r="D13" s="125" t="s">
        <v>266</v>
      </c>
      <c r="E13" s="125" t="s">
        <v>267</v>
      </c>
      <c r="F13" s="125" t="s">
        <v>268</v>
      </c>
    </row>
    <row r="14">
      <c r="A14" s="124">
        <v>13.0</v>
      </c>
      <c r="B14" s="125" t="s">
        <v>246</v>
      </c>
      <c r="C14" s="125" t="s">
        <v>269</v>
      </c>
      <c r="D14" s="125" t="s">
        <v>266</v>
      </c>
      <c r="E14" s="125" t="s">
        <v>267</v>
      </c>
      <c r="F14" s="125" t="s">
        <v>270</v>
      </c>
    </row>
    <row r="15">
      <c r="A15" s="124">
        <v>14.0</v>
      </c>
      <c r="B15" s="125" t="s">
        <v>246</v>
      </c>
      <c r="C15" s="125" t="s">
        <v>271</v>
      </c>
      <c r="D15" s="125" t="s">
        <v>272</v>
      </c>
      <c r="E15" s="125" t="s">
        <v>240</v>
      </c>
      <c r="F15" s="125" t="s">
        <v>273</v>
      </c>
    </row>
    <row r="16">
      <c r="A16" s="124">
        <v>15.0</v>
      </c>
      <c r="B16" s="125" t="s">
        <v>246</v>
      </c>
      <c r="C16" s="125" t="s">
        <v>274</v>
      </c>
      <c r="D16" s="125" t="s">
        <v>275</v>
      </c>
      <c r="E16" s="125" t="s">
        <v>276</v>
      </c>
      <c r="F16" s="125" t="s">
        <v>277</v>
      </c>
    </row>
    <row r="17">
      <c r="A17" s="124">
        <v>16.0</v>
      </c>
      <c r="B17" s="125" t="s">
        <v>246</v>
      </c>
      <c r="C17" s="125" t="s">
        <v>278</v>
      </c>
      <c r="D17" s="125" t="s">
        <v>279</v>
      </c>
      <c r="E17" s="125" t="s">
        <v>280</v>
      </c>
      <c r="F17" s="125" t="s">
        <v>281</v>
      </c>
    </row>
    <row r="18">
      <c r="A18" s="124">
        <v>17.0</v>
      </c>
      <c r="B18" s="125" t="s">
        <v>246</v>
      </c>
      <c r="C18" s="125" t="s">
        <v>282</v>
      </c>
      <c r="D18" s="125" t="s">
        <v>253</v>
      </c>
      <c r="E18" s="125" t="s">
        <v>240</v>
      </c>
      <c r="F18" s="125" t="s">
        <v>283</v>
      </c>
    </row>
    <row r="19">
      <c r="A19" s="124">
        <v>18.0</v>
      </c>
      <c r="B19" s="125" t="s">
        <v>246</v>
      </c>
      <c r="C19" s="125" t="s">
        <v>284</v>
      </c>
      <c r="D19" s="125" t="s">
        <v>253</v>
      </c>
      <c r="E19" s="125" t="s">
        <v>240</v>
      </c>
      <c r="F19" s="125" t="s">
        <v>285</v>
      </c>
    </row>
    <row r="20">
      <c r="A20" s="124">
        <v>19.0</v>
      </c>
      <c r="B20" s="125" t="s">
        <v>246</v>
      </c>
      <c r="C20" s="125" t="s">
        <v>286</v>
      </c>
      <c r="D20" s="124">
        <v>2.4</v>
      </c>
      <c r="E20" s="125" t="s">
        <v>240</v>
      </c>
      <c r="F20" s="125" t="s">
        <v>287</v>
      </c>
    </row>
    <row r="21">
      <c r="A21" s="124">
        <v>20.0</v>
      </c>
      <c r="B21" s="125" t="s">
        <v>246</v>
      </c>
      <c r="C21" s="125" t="s">
        <v>288</v>
      </c>
      <c r="D21" s="125" t="s">
        <v>289</v>
      </c>
      <c r="E21" s="125" t="s">
        <v>240</v>
      </c>
      <c r="F21" s="125" t="s">
        <v>290</v>
      </c>
    </row>
    <row r="22">
      <c r="A22" s="124">
        <v>21.0</v>
      </c>
      <c r="B22" s="125" t="s">
        <v>246</v>
      </c>
      <c r="C22" s="125" t="s">
        <v>291</v>
      </c>
      <c r="D22" s="125" t="s">
        <v>289</v>
      </c>
      <c r="E22" s="125" t="s">
        <v>240</v>
      </c>
      <c r="F22" s="125" t="s">
        <v>292</v>
      </c>
    </row>
    <row r="23">
      <c r="A23" s="124">
        <v>22.0</v>
      </c>
      <c r="B23" s="125" t="s">
        <v>246</v>
      </c>
      <c r="C23" s="125" t="s">
        <v>293</v>
      </c>
      <c r="D23" s="125" t="s">
        <v>289</v>
      </c>
      <c r="E23" s="125" t="s">
        <v>240</v>
      </c>
      <c r="F23" s="125" t="s">
        <v>294</v>
      </c>
    </row>
    <row r="24">
      <c r="A24" s="124">
        <v>23.0</v>
      </c>
      <c r="B24" s="125" t="s">
        <v>246</v>
      </c>
      <c r="C24" s="125" t="s">
        <v>295</v>
      </c>
      <c r="D24" s="125" t="s">
        <v>296</v>
      </c>
      <c r="E24" s="125" t="s">
        <v>297</v>
      </c>
      <c r="F24" s="125" t="s">
        <v>298</v>
      </c>
    </row>
    <row r="25">
      <c r="A25" s="124">
        <v>24.0</v>
      </c>
      <c r="B25" s="125" t="s">
        <v>246</v>
      </c>
      <c r="C25" s="125" t="s">
        <v>299</v>
      </c>
      <c r="D25" s="125" t="s">
        <v>300</v>
      </c>
      <c r="E25" s="125" t="s">
        <v>297</v>
      </c>
      <c r="F25" s="125" t="s">
        <v>301</v>
      </c>
    </row>
    <row r="26">
      <c r="A26" s="124">
        <v>25.0</v>
      </c>
      <c r="B26" s="125" t="s">
        <v>246</v>
      </c>
      <c r="C26" s="125" t="s">
        <v>302</v>
      </c>
      <c r="D26" s="125" t="s">
        <v>289</v>
      </c>
      <c r="E26" s="125" t="s">
        <v>240</v>
      </c>
      <c r="F26" s="125" t="s">
        <v>303</v>
      </c>
    </row>
    <row r="27">
      <c r="A27" s="124">
        <v>26.0</v>
      </c>
      <c r="B27" s="125" t="s">
        <v>246</v>
      </c>
      <c r="C27" s="125" t="s">
        <v>304</v>
      </c>
      <c r="D27" s="125" t="s">
        <v>305</v>
      </c>
      <c r="E27" s="125" t="s">
        <v>240</v>
      </c>
      <c r="F27" s="125" t="s">
        <v>306</v>
      </c>
    </row>
    <row r="28">
      <c r="A28" s="124">
        <v>27.0</v>
      </c>
      <c r="B28" s="125" t="s">
        <v>246</v>
      </c>
      <c r="C28" s="125" t="s">
        <v>307</v>
      </c>
      <c r="D28" s="125" t="s">
        <v>305</v>
      </c>
      <c r="E28" s="125" t="s">
        <v>240</v>
      </c>
      <c r="F28" s="125" t="s">
        <v>308</v>
      </c>
    </row>
    <row r="29">
      <c r="A29" s="124">
        <v>28.0</v>
      </c>
      <c r="B29" s="125" t="s">
        <v>246</v>
      </c>
      <c r="C29" s="125" t="s">
        <v>309</v>
      </c>
      <c r="D29" s="125" t="s">
        <v>305</v>
      </c>
      <c r="E29" s="125" t="s">
        <v>240</v>
      </c>
      <c r="F29" s="125" t="s">
        <v>310</v>
      </c>
    </row>
    <row r="30">
      <c r="A30" s="124">
        <v>29.0</v>
      </c>
      <c r="B30" s="125" t="s">
        <v>246</v>
      </c>
      <c r="C30" s="125" t="s">
        <v>311</v>
      </c>
      <c r="D30" s="125" t="s">
        <v>305</v>
      </c>
      <c r="E30" s="125" t="s">
        <v>240</v>
      </c>
      <c r="F30" s="125" t="s">
        <v>312</v>
      </c>
    </row>
    <row r="31">
      <c r="A31" s="124">
        <v>30.0</v>
      </c>
      <c r="B31" s="125" t="s">
        <v>246</v>
      </c>
      <c r="C31" s="125" t="s">
        <v>313</v>
      </c>
      <c r="D31" s="125" t="s">
        <v>305</v>
      </c>
      <c r="E31" s="125" t="s">
        <v>240</v>
      </c>
      <c r="F31" s="125" t="s">
        <v>314</v>
      </c>
    </row>
    <row r="32">
      <c r="A32" s="124">
        <v>31.0</v>
      </c>
      <c r="B32" s="125" t="s">
        <v>246</v>
      </c>
      <c r="C32" s="125" t="s">
        <v>315</v>
      </c>
      <c r="D32" s="125" t="s">
        <v>305</v>
      </c>
      <c r="E32" s="125" t="s">
        <v>240</v>
      </c>
      <c r="F32" s="125" t="s">
        <v>316</v>
      </c>
    </row>
    <row r="33">
      <c r="A33" s="124">
        <v>32.0</v>
      </c>
      <c r="B33" s="125" t="s">
        <v>246</v>
      </c>
      <c r="C33" s="125" t="s">
        <v>317</v>
      </c>
      <c r="D33" s="125" t="s">
        <v>318</v>
      </c>
      <c r="E33" s="125" t="s">
        <v>276</v>
      </c>
      <c r="F33" s="125" t="s">
        <v>319</v>
      </c>
    </row>
    <row r="34">
      <c r="A34" s="124">
        <v>33.0</v>
      </c>
      <c r="B34" s="125" t="s">
        <v>246</v>
      </c>
      <c r="C34" s="125" t="s">
        <v>320</v>
      </c>
      <c r="D34" s="125" t="s">
        <v>321</v>
      </c>
      <c r="E34" s="125" t="s">
        <v>240</v>
      </c>
      <c r="F34" s="125" t="s">
        <v>322</v>
      </c>
    </row>
    <row r="35">
      <c r="A35" s="124">
        <v>34.0</v>
      </c>
      <c r="B35" s="125" t="s">
        <v>246</v>
      </c>
      <c r="C35" s="125" t="s">
        <v>323</v>
      </c>
      <c r="D35" s="125" t="s">
        <v>321</v>
      </c>
      <c r="E35" s="125" t="s">
        <v>240</v>
      </c>
      <c r="F35" s="125" t="s">
        <v>324</v>
      </c>
    </row>
    <row r="36">
      <c r="A36" s="124">
        <v>35.0</v>
      </c>
      <c r="B36" s="125" t="s">
        <v>246</v>
      </c>
      <c r="C36" s="125" t="s">
        <v>325</v>
      </c>
      <c r="D36" s="125" t="s">
        <v>321</v>
      </c>
      <c r="E36" s="125" t="s">
        <v>240</v>
      </c>
      <c r="F36" s="125" t="s">
        <v>326</v>
      </c>
    </row>
    <row r="37">
      <c r="A37" s="124">
        <v>36.0</v>
      </c>
      <c r="B37" s="125" t="s">
        <v>246</v>
      </c>
      <c r="C37" s="125" t="s">
        <v>327</v>
      </c>
      <c r="D37" s="125" t="s">
        <v>321</v>
      </c>
      <c r="E37" s="125" t="s">
        <v>240</v>
      </c>
      <c r="F37" s="125" t="s">
        <v>328</v>
      </c>
    </row>
    <row r="38">
      <c r="A38" s="124">
        <v>37.0</v>
      </c>
      <c r="B38" s="125" t="s">
        <v>246</v>
      </c>
      <c r="C38" s="125" t="s">
        <v>329</v>
      </c>
      <c r="D38" s="125" t="s">
        <v>321</v>
      </c>
      <c r="E38" s="125" t="s">
        <v>240</v>
      </c>
      <c r="F38" s="125" t="s">
        <v>330</v>
      </c>
    </row>
    <row r="39">
      <c r="A39" s="124">
        <v>38.0</v>
      </c>
      <c r="B39" s="125" t="s">
        <v>246</v>
      </c>
      <c r="C39" s="125" t="s">
        <v>331</v>
      </c>
      <c r="D39" s="125" t="s">
        <v>332</v>
      </c>
      <c r="E39" s="125" t="s">
        <v>333</v>
      </c>
      <c r="F39" s="125" t="s">
        <v>334</v>
      </c>
    </row>
    <row r="40">
      <c r="A40" s="124">
        <v>39.0</v>
      </c>
      <c r="B40" s="125" t="s">
        <v>246</v>
      </c>
      <c r="C40" s="125" t="s">
        <v>335</v>
      </c>
      <c r="D40" s="125" t="s">
        <v>321</v>
      </c>
      <c r="E40" s="125" t="s">
        <v>240</v>
      </c>
      <c r="F40" s="125" t="s">
        <v>336</v>
      </c>
    </row>
    <row r="41">
      <c r="A41" s="124">
        <v>40.0</v>
      </c>
      <c r="B41" s="125" t="s">
        <v>246</v>
      </c>
      <c r="C41" s="125" t="s">
        <v>337</v>
      </c>
      <c r="D41" s="125" t="s">
        <v>321</v>
      </c>
      <c r="E41" s="125" t="s">
        <v>240</v>
      </c>
      <c r="F41" s="125" t="s">
        <v>338</v>
      </c>
    </row>
    <row r="42">
      <c r="A42" s="124">
        <v>41.0</v>
      </c>
      <c r="B42" s="125" t="s">
        <v>246</v>
      </c>
      <c r="C42" s="125" t="s">
        <v>339</v>
      </c>
      <c r="D42" s="125" t="s">
        <v>340</v>
      </c>
      <c r="E42" s="125" t="s">
        <v>240</v>
      </c>
      <c r="F42" s="125" t="s">
        <v>341</v>
      </c>
    </row>
    <row r="43">
      <c r="A43" s="124">
        <v>42.0</v>
      </c>
      <c r="B43" s="125" t="s">
        <v>246</v>
      </c>
      <c r="C43" s="125" t="s">
        <v>342</v>
      </c>
      <c r="D43" s="125" t="s">
        <v>340</v>
      </c>
      <c r="E43" s="125" t="s">
        <v>240</v>
      </c>
      <c r="F43" s="125" t="s">
        <v>343</v>
      </c>
    </row>
    <row r="44">
      <c r="A44" s="124">
        <v>43.0</v>
      </c>
      <c r="B44" s="125" t="s">
        <v>246</v>
      </c>
      <c r="C44" s="125" t="s">
        <v>344</v>
      </c>
      <c r="D44" s="125" t="s">
        <v>321</v>
      </c>
      <c r="E44" s="125" t="s">
        <v>240</v>
      </c>
      <c r="F44" s="125" t="s">
        <v>345</v>
      </c>
    </row>
    <row r="45">
      <c r="A45" s="124">
        <v>44.0</v>
      </c>
      <c r="B45" s="125" t="s">
        <v>246</v>
      </c>
      <c r="C45" s="125" t="s">
        <v>346</v>
      </c>
      <c r="D45" s="125" t="s">
        <v>321</v>
      </c>
      <c r="E45" s="125" t="s">
        <v>240</v>
      </c>
      <c r="F45" s="125" t="s">
        <v>347</v>
      </c>
    </row>
    <row r="46">
      <c r="A46" s="124">
        <v>45.0</v>
      </c>
      <c r="B46" s="125" t="s">
        <v>246</v>
      </c>
      <c r="C46" s="125" t="s">
        <v>348</v>
      </c>
      <c r="D46" s="125" t="s">
        <v>349</v>
      </c>
      <c r="E46" s="125" t="s">
        <v>240</v>
      </c>
      <c r="F46" s="125" t="s">
        <v>350</v>
      </c>
    </row>
    <row r="47">
      <c r="A47" s="124">
        <v>46.0</v>
      </c>
      <c r="B47" s="125" t="s">
        <v>246</v>
      </c>
      <c r="C47" s="125" t="s">
        <v>351</v>
      </c>
      <c r="D47" s="125" t="s">
        <v>349</v>
      </c>
      <c r="E47" s="125" t="s">
        <v>240</v>
      </c>
      <c r="F47" s="125" t="s">
        <v>352</v>
      </c>
    </row>
    <row r="48">
      <c r="A48" s="124">
        <v>47.0</v>
      </c>
      <c r="B48" s="125" t="s">
        <v>246</v>
      </c>
      <c r="C48" s="125" t="s">
        <v>353</v>
      </c>
      <c r="D48" s="125" t="s">
        <v>349</v>
      </c>
      <c r="E48" s="125" t="s">
        <v>240</v>
      </c>
      <c r="F48" s="125" t="s">
        <v>354</v>
      </c>
    </row>
    <row r="49">
      <c r="A49" s="124">
        <v>48.0</v>
      </c>
      <c r="B49" s="125" t="s">
        <v>246</v>
      </c>
      <c r="C49" s="125" t="s">
        <v>355</v>
      </c>
      <c r="D49" s="125" t="s">
        <v>349</v>
      </c>
      <c r="E49" s="125" t="s">
        <v>240</v>
      </c>
      <c r="F49" s="125" t="s">
        <v>356</v>
      </c>
    </row>
    <row r="50">
      <c r="A50" s="124">
        <v>49.0</v>
      </c>
      <c r="B50" s="125" t="s">
        <v>246</v>
      </c>
      <c r="C50" s="125" t="s">
        <v>357</v>
      </c>
      <c r="D50" s="125" t="s">
        <v>349</v>
      </c>
      <c r="E50" s="125" t="s">
        <v>240</v>
      </c>
      <c r="F50" s="125" t="s">
        <v>358</v>
      </c>
    </row>
    <row r="51">
      <c r="A51" s="124">
        <v>50.0</v>
      </c>
      <c r="B51" s="125" t="s">
        <v>246</v>
      </c>
      <c r="C51" s="125" t="s">
        <v>359</v>
      </c>
      <c r="D51" s="125" t="s">
        <v>349</v>
      </c>
      <c r="E51" s="125" t="s">
        <v>240</v>
      </c>
      <c r="F51" s="125" t="s">
        <v>360</v>
      </c>
    </row>
    <row r="52">
      <c r="A52" s="124">
        <v>51.0</v>
      </c>
      <c r="B52" s="125" t="s">
        <v>246</v>
      </c>
      <c r="C52" s="125" t="s">
        <v>361</v>
      </c>
      <c r="D52" s="125" t="s">
        <v>349</v>
      </c>
      <c r="E52" s="125" t="s">
        <v>240</v>
      </c>
      <c r="F52" s="125" t="s">
        <v>362</v>
      </c>
    </row>
    <row r="53">
      <c r="A53" s="124">
        <v>52.0</v>
      </c>
      <c r="B53" s="125" t="s">
        <v>246</v>
      </c>
      <c r="C53" s="125" t="s">
        <v>363</v>
      </c>
      <c r="D53" s="125" t="s">
        <v>349</v>
      </c>
      <c r="E53" s="125" t="s">
        <v>240</v>
      </c>
      <c r="F53" s="125" t="s">
        <v>364</v>
      </c>
    </row>
    <row r="54">
      <c r="A54" s="124">
        <v>53.0</v>
      </c>
      <c r="B54" s="125" t="s">
        <v>246</v>
      </c>
      <c r="C54" s="125" t="s">
        <v>365</v>
      </c>
      <c r="D54" s="125" t="s">
        <v>349</v>
      </c>
      <c r="E54" s="125" t="s">
        <v>240</v>
      </c>
      <c r="F54" s="125" t="s">
        <v>366</v>
      </c>
    </row>
    <row r="55">
      <c r="A55" s="124">
        <v>54.0</v>
      </c>
      <c r="B55" s="125" t="s">
        <v>246</v>
      </c>
      <c r="C55" s="125" t="s">
        <v>367</v>
      </c>
      <c r="D55" s="125" t="s">
        <v>349</v>
      </c>
      <c r="E55" s="125" t="s">
        <v>240</v>
      </c>
      <c r="F55" s="125" t="s">
        <v>368</v>
      </c>
    </row>
    <row r="56">
      <c r="A56" s="124">
        <v>55.0</v>
      </c>
      <c r="B56" s="125" t="s">
        <v>246</v>
      </c>
      <c r="C56" s="125" t="s">
        <v>369</v>
      </c>
      <c r="D56" s="125" t="s">
        <v>349</v>
      </c>
      <c r="E56" s="125" t="s">
        <v>240</v>
      </c>
      <c r="F56" s="125" t="s">
        <v>370</v>
      </c>
    </row>
    <row r="57">
      <c r="A57" s="124">
        <v>56.0</v>
      </c>
      <c r="B57" s="125" t="s">
        <v>246</v>
      </c>
      <c r="C57" s="125" t="s">
        <v>371</v>
      </c>
      <c r="D57" s="125" t="s">
        <v>349</v>
      </c>
      <c r="E57" s="125" t="s">
        <v>240</v>
      </c>
      <c r="F57" s="125" t="s">
        <v>372</v>
      </c>
    </row>
    <row r="58">
      <c r="A58" s="124">
        <v>57.0</v>
      </c>
      <c r="B58" s="125" t="s">
        <v>246</v>
      </c>
      <c r="C58" s="125" t="s">
        <v>373</v>
      </c>
      <c r="D58" s="125" t="s">
        <v>349</v>
      </c>
      <c r="E58" s="125" t="s">
        <v>240</v>
      </c>
      <c r="F58" s="125" t="s">
        <v>374</v>
      </c>
    </row>
    <row r="59">
      <c r="A59" s="124">
        <v>58.0</v>
      </c>
      <c r="B59" s="125" t="s">
        <v>246</v>
      </c>
      <c r="C59" s="125" t="s">
        <v>375</v>
      </c>
      <c r="D59" s="125" t="s">
        <v>349</v>
      </c>
      <c r="E59" s="125" t="s">
        <v>240</v>
      </c>
      <c r="F59" s="125" t="s">
        <v>376</v>
      </c>
    </row>
    <row r="60">
      <c r="A60" s="124">
        <v>59.0</v>
      </c>
      <c r="B60" s="125" t="s">
        <v>246</v>
      </c>
      <c r="C60" s="125" t="s">
        <v>377</v>
      </c>
      <c r="D60" s="125" t="s">
        <v>321</v>
      </c>
      <c r="E60" s="125" t="s">
        <v>240</v>
      </c>
      <c r="F60" s="125" t="s">
        <v>378</v>
      </c>
    </row>
    <row r="61">
      <c r="A61" s="124">
        <v>60.0</v>
      </c>
      <c r="B61" s="125" t="s">
        <v>246</v>
      </c>
      <c r="C61" s="125" t="s">
        <v>379</v>
      </c>
      <c r="D61" s="125" t="s">
        <v>380</v>
      </c>
      <c r="E61" s="125" t="s">
        <v>276</v>
      </c>
      <c r="F61" s="125" t="s">
        <v>381</v>
      </c>
    </row>
    <row r="62">
      <c r="A62" s="124">
        <v>61.0</v>
      </c>
      <c r="B62" s="125" t="s">
        <v>246</v>
      </c>
      <c r="C62" s="125" t="s">
        <v>382</v>
      </c>
      <c r="D62" s="125" t="s">
        <v>383</v>
      </c>
      <c r="E62" s="125" t="s">
        <v>240</v>
      </c>
      <c r="F62" s="125" t="s">
        <v>384</v>
      </c>
    </row>
    <row r="63">
      <c r="A63" s="124">
        <v>62.0</v>
      </c>
      <c r="B63" s="125" t="s">
        <v>246</v>
      </c>
      <c r="C63" s="125" t="s">
        <v>385</v>
      </c>
      <c r="D63" s="124">
        <v>3.2</v>
      </c>
      <c r="E63" s="125" t="s">
        <v>240</v>
      </c>
      <c r="F63" s="125" t="s">
        <v>386</v>
      </c>
    </row>
    <row r="64">
      <c r="A64" s="124">
        <v>63.0</v>
      </c>
      <c r="B64" s="125" t="s">
        <v>246</v>
      </c>
      <c r="C64" s="125" t="s">
        <v>387</v>
      </c>
      <c r="D64" s="125" t="s">
        <v>272</v>
      </c>
      <c r="E64" s="125" t="s">
        <v>240</v>
      </c>
      <c r="F64" s="125" t="s">
        <v>388</v>
      </c>
    </row>
    <row r="65">
      <c r="A65" s="124">
        <v>64.0</v>
      </c>
      <c r="B65" s="125" t="s">
        <v>246</v>
      </c>
      <c r="C65" s="125" t="s">
        <v>389</v>
      </c>
      <c r="D65" s="125" t="s">
        <v>272</v>
      </c>
      <c r="E65" s="125" t="s">
        <v>240</v>
      </c>
      <c r="F65" s="125" t="s">
        <v>390</v>
      </c>
    </row>
    <row r="66">
      <c r="A66" s="124">
        <v>65.0</v>
      </c>
      <c r="B66" s="125" t="s">
        <v>246</v>
      </c>
      <c r="C66" s="125" t="s">
        <v>391</v>
      </c>
      <c r="D66" s="125" t="s">
        <v>392</v>
      </c>
      <c r="E66" s="125" t="s">
        <v>393</v>
      </c>
      <c r="F66" s="125" t="s">
        <v>394</v>
      </c>
    </row>
    <row r="67">
      <c r="A67" s="124">
        <v>66.0</v>
      </c>
      <c r="B67" s="125" t="s">
        <v>246</v>
      </c>
      <c r="C67" s="125" t="s">
        <v>395</v>
      </c>
      <c r="D67" s="125" t="s">
        <v>396</v>
      </c>
      <c r="E67" s="125" t="s">
        <v>397</v>
      </c>
      <c r="F67" s="125" t="s">
        <v>398</v>
      </c>
    </row>
    <row r="68">
      <c r="A68" s="124">
        <v>67.0</v>
      </c>
      <c r="B68" s="125" t="s">
        <v>246</v>
      </c>
      <c r="C68" s="125" t="s">
        <v>399</v>
      </c>
      <c r="D68" s="125" t="s">
        <v>400</v>
      </c>
      <c r="E68" s="125" t="s">
        <v>240</v>
      </c>
      <c r="F68" s="125" t="s">
        <v>401</v>
      </c>
    </row>
    <row r="69">
      <c r="A69" s="124">
        <v>68.0</v>
      </c>
      <c r="B69" s="125" t="s">
        <v>246</v>
      </c>
      <c r="C69" s="125" t="s">
        <v>402</v>
      </c>
      <c r="D69" s="125" t="s">
        <v>403</v>
      </c>
      <c r="E69" s="125" t="s">
        <v>404</v>
      </c>
      <c r="F69" s="125" t="s">
        <v>405</v>
      </c>
    </row>
    <row r="70">
      <c r="A70" s="124">
        <v>69.0</v>
      </c>
      <c r="B70" s="125" t="s">
        <v>246</v>
      </c>
      <c r="C70" s="125" t="s">
        <v>406</v>
      </c>
      <c r="D70" s="125" t="s">
        <v>407</v>
      </c>
      <c r="E70" s="125" t="s">
        <v>408</v>
      </c>
      <c r="F70" s="125" t="s">
        <v>409</v>
      </c>
    </row>
    <row r="71">
      <c r="A71" s="124">
        <v>70.0</v>
      </c>
      <c r="B71" s="125" t="s">
        <v>246</v>
      </c>
      <c r="C71" s="125" t="s">
        <v>410</v>
      </c>
      <c r="D71" s="125" t="s">
        <v>321</v>
      </c>
      <c r="E71" s="125" t="s">
        <v>240</v>
      </c>
      <c r="F71" s="125" t="s">
        <v>411</v>
      </c>
    </row>
    <row r="72">
      <c r="A72" s="124">
        <v>71.0</v>
      </c>
      <c r="B72" s="125" t="s">
        <v>246</v>
      </c>
      <c r="C72" s="125" t="s">
        <v>412</v>
      </c>
      <c r="D72" s="125" t="s">
        <v>413</v>
      </c>
      <c r="E72" s="125" t="s">
        <v>240</v>
      </c>
      <c r="F72" s="125" t="s">
        <v>414</v>
      </c>
    </row>
    <row r="73">
      <c r="A73" s="124">
        <v>72.0</v>
      </c>
      <c r="B73" s="125" t="s">
        <v>246</v>
      </c>
      <c r="C73" s="125" t="s">
        <v>415</v>
      </c>
      <c r="D73" s="125" t="s">
        <v>416</v>
      </c>
      <c r="E73" s="125" t="s">
        <v>240</v>
      </c>
      <c r="F73" s="125" t="s">
        <v>417</v>
      </c>
    </row>
    <row r="74">
      <c r="A74" s="124">
        <v>73.0</v>
      </c>
      <c r="B74" s="125" t="s">
        <v>246</v>
      </c>
      <c r="C74" s="125" t="s">
        <v>418</v>
      </c>
      <c r="D74" s="125" t="s">
        <v>419</v>
      </c>
      <c r="E74" s="125" t="s">
        <v>240</v>
      </c>
      <c r="F74" s="125" t="s">
        <v>420</v>
      </c>
    </row>
    <row r="75">
      <c r="A75" s="124">
        <v>74.0</v>
      </c>
      <c r="B75" s="125" t="s">
        <v>246</v>
      </c>
      <c r="C75" s="125" t="s">
        <v>421</v>
      </c>
      <c r="D75" s="125" t="s">
        <v>416</v>
      </c>
      <c r="E75" s="125" t="s">
        <v>240</v>
      </c>
      <c r="F75" s="125" t="s">
        <v>422</v>
      </c>
    </row>
    <row r="76">
      <c r="A76" s="124">
        <v>75.0</v>
      </c>
      <c r="B76" s="125" t="s">
        <v>246</v>
      </c>
      <c r="C76" s="125" t="s">
        <v>423</v>
      </c>
      <c r="D76" s="125" t="s">
        <v>424</v>
      </c>
      <c r="E76" s="125" t="s">
        <v>240</v>
      </c>
      <c r="F76" s="125" t="s">
        <v>425</v>
      </c>
    </row>
    <row r="77">
      <c r="A77" s="124">
        <v>76.0</v>
      </c>
      <c r="B77" s="125" t="s">
        <v>246</v>
      </c>
      <c r="C77" s="125" t="s">
        <v>426</v>
      </c>
      <c r="D77" s="124">
        <v>1.2</v>
      </c>
      <c r="E77" s="125" t="s">
        <v>240</v>
      </c>
      <c r="F77" s="125" t="s">
        <v>427</v>
      </c>
    </row>
    <row r="78">
      <c r="A78" s="124">
        <v>77.0</v>
      </c>
      <c r="B78" s="125" t="s">
        <v>246</v>
      </c>
      <c r="C78" s="125" t="s">
        <v>428</v>
      </c>
      <c r="D78" s="125" t="s">
        <v>321</v>
      </c>
      <c r="E78" s="125" t="s">
        <v>240</v>
      </c>
      <c r="F78" s="125" t="s">
        <v>429</v>
      </c>
    </row>
    <row r="79">
      <c r="A79" s="124">
        <v>78.0</v>
      </c>
      <c r="B79" s="125" t="s">
        <v>246</v>
      </c>
      <c r="C79" s="125" t="s">
        <v>430</v>
      </c>
      <c r="D79" s="125" t="s">
        <v>321</v>
      </c>
      <c r="E79" s="125" t="s">
        <v>240</v>
      </c>
      <c r="F79" s="125" t="s">
        <v>431</v>
      </c>
    </row>
    <row r="80">
      <c r="A80" s="124">
        <v>79.0</v>
      </c>
      <c r="B80" s="125" t="s">
        <v>246</v>
      </c>
      <c r="C80" s="125" t="s">
        <v>432</v>
      </c>
      <c r="D80" s="125" t="s">
        <v>321</v>
      </c>
      <c r="E80" s="125" t="s">
        <v>240</v>
      </c>
      <c r="F80" s="125" t="s">
        <v>433</v>
      </c>
    </row>
    <row r="81">
      <c r="A81" s="124">
        <v>80.0</v>
      </c>
      <c r="B81" s="125" t="s">
        <v>246</v>
      </c>
      <c r="C81" s="125" t="s">
        <v>434</v>
      </c>
      <c r="D81" s="125" t="s">
        <v>321</v>
      </c>
      <c r="E81" s="125" t="s">
        <v>240</v>
      </c>
      <c r="F81" s="125" t="s">
        <v>435</v>
      </c>
    </row>
    <row r="82">
      <c r="A82" s="124">
        <v>81.0</v>
      </c>
      <c r="B82" s="125" t="s">
        <v>246</v>
      </c>
      <c r="C82" s="125" t="s">
        <v>436</v>
      </c>
      <c r="D82" s="125" t="s">
        <v>321</v>
      </c>
      <c r="E82" s="125" t="s">
        <v>240</v>
      </c>
      <c r="F82" s="125" t="s">
        <v>437</v>
      </c>
    </row>
    <row r="83">
      <c r="A83" s="124">
        <v>82.0</v>
      </c>
      <c r="B83" s="125" t="s">
        <v>246</v>
      </c>
      <c r="C83" s="125" t="s">
        <v>438</v>
      </c>
      <c r="D83" s="125" t="s">
        <v>439</v>
      </c>
      <c r="E83" s="125" t="s">
        <v>240</v>
      </c>
      <c r="F83" s="125" t="s">
        <v>440</v>
      </c>
    </row>
    <row r="84">
      <c r="A84" s="124">
        <v>83.0</v>
      </c>
      <c r="B84" s="125" t="s">
        <v>246</v>
      </c>
      <c r="C84" s="125" t="s">
        <v>441</v>
      </c>
      <c r="D84" s="125" t="s">
        <v>340</v>
      </c>
      <c r="E84" s="125" t="s">
        <v>240</v>
      </c>
      <c r="F84" s="125" t="s">
        <v>442</v>
      </c>
    </row>
    <row r="85">
      <c r="A85" s="124">
        <v>84.0</v>
      </c>
      <c r="B85" s="125" t="s">
        <v>246</v>
      </c>
      <c r="C85" s="125" t="s">
        <v>443</v>
      </c>
      <c r="D85" s="125" t="s">
        <v>340</v>
      </c>
      <c r="E85" s="125" t="s">
        <v>240</v>
      </c>
      <c r="F85" s="125" t="s">
        <v>444</v>
      </c>
    </row>
    <row r="86">
      <c r="A86" s="124">
        <v>85.0</v>
      </c>
      <c r="B86" s="125" t="s">
        <v>246</v>
      </c>
      <c r="C86" s="125" t="s">
        <v>445</v>
      </c>
      <c r="D86" s="125" t="s">
        <v>340</v>
      </c>
      <c r="E86" s="125" t="s">
        <v>240</v>
      </c>
      <c r="F86" s="125" t="s">
        <v>446</v>
      </c>
    </row>
    <row r="87">
      <c r="A87" s="124">
        <v>86.0</v>
      </c>
      <c r="B87" s="125" t="s">
        <v>246</v>
      </c>
      <c r="C87" s="125" t="s">
        <v>447</v>
      </c>
      <c r="D87" s="125" t="s">
        <v>340</v>
      </c>
      <c r="E87" s="125" t="s">
        <v>240</v>
      </c>
      <c r="F87" s="125" t="s">
        <v>448</v>
      </c>
    </row>
    <row r="88">
      <c r="A88" s="124">
        <v>87.0</v>
      </c>
      <c r="B88" s="125" t="s">
        <v>246</v>
      </c>
      <c r="C88" s="125" t="s">
        <v>449</v>
      </c>
      <c r="D88" s="125" t="s">
        <v>275</v>
      </c>
      <c r="E88" s="125" t="s">
        <v>276</v>
      </c>
      <c r="F88" s="125" t="s">
        <v>450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26" t="str">
        <f>'Project Team'!A1</f>
        <v>Last Name</v>
      </c>
      <c r="B1" s="126" t="str">
        <f>'Project Team'!B1</f>
        <v>First Name</v>
      </c>
      <c r="C1" s="127" t="s">
        <v>451</v>
      </c>
      <c r="D1" s="128"/>
      <c r="E1" s="129"/>
      <c r="F1" s="130"/>
      <c r="G1" s="131"/>
      <c r="H1" s="131"/>
    </row>
    <row r="2">
      <c r="A2" s="132" t="str">
        <f>'Project Team'!A2</f>
        <v>Lorenz</v>
      </c>
      <c r="B2" s="132" t="str">
        <f>'Project Team'!B2</f>
        <v>Alexander</v>
      </c>
      <c r="C2" s="133">
        <v>5.0</v>
      </c>
      <c r="D2" s="134"/>
      <c r="E2" s="135">
        <f>average(C2:C10)</f>
        <v>5</v>
      </c>
      <c r="F2" s="136" t="str">
        <f>if(stdev(C2:C7) &gt; 0,"NOK", "OK")</f>
        <v>OK</v>
      </c>
      <c r="G2" s="137"/>
      <c r="H2" s="137"/>
    </row>
    <row r="3">
      <c r="A3" s="138" t="str">
        <f>'Project Team'!A3</f>
        <v>Buchner</v>
      </c>
      <c r="B3" s="138" t="str">
        <f>'Project Team'!B3</f>
        <v>Lea</v>
      </c>
      <c r="C3" s="133">
        <v>5.0</v>
      </c>
      <c r="D3" s="139"/>
      <c r="G3" s="140"/>
      <c r="H3" s="140"/>
    </row>
    <row r="4">
      <c r="A4" s="132" t="str">
        <f>'Project Team'!A4</f>
        <v>Engelhard</v>
      </c>
      <c r="B4" s="132" t="str">
        <f>'Project Team'!B4</f>
        <v>Dirk</v>
      </c>
      <c r="C4" s="141"/>
      <c r="D4" s="134"/>
      <c r="G4" s="137"/>
      <c r="H4" s="137"/>
    </row>
    <row r="5">
      <c r="A5" s="138" t="str">
        <f>'Project Team'!A5</f>
        <v>Strachwitz</v>
      </c>
      <c r="B5" s="138" t="str">
        <f>'Project Team'!B5</f>
        <v>Carlo</v>
      </c>
      <c r="C5" s="142"/>
      <c r="D5" s="143"/>
      <c r="E5" s="143"/>
      <c r="F5" s="143"/>
      <c r="G5" s="140"/>
      <c r="H5" s="140"/>
    </row>
    <row r="6">
      <c r="A6" s="132" t="str">
        <f>'Project Team'!A6</f>
        <v>Belz</v>
      </c>
      <c r="B6" s="132" t="str">
        <f>'Project Team'!B6</f>
        <v>Sara</v>
      </c>
      <c r="C6" s="141"/>
      <c r="D6" s="144"/>
      <c r="E6" s="145">
        <v>0.0</v>
      </c>
      <c r="F6" s="146" t="s">
        <v>452</v>
      </c>
      <c r="G6" s="137"/>
      <c r="H6" s="137"/>
    </row>
    <row r="7">
      <c r="A7" s="138" t="str">
        <f>'Project Team'!A7</f>
        <v>Becker</v>
      </c>
      <c r="B7" s="138" t="str">
        <f>'Project Team'!B7</f>
        <v>Eugen</v>
      </c>
      <c r="C7" s="141"/>
      <c r="D7" s="143"/>
      <c r="E7" s="145">
        <v>1.0</v>
      </c>
      <c r="F7" s="146" t="s">
        <v>453</v>
      </c>
      <c r="G7" s="140"/>
      <c r="H7" s="140"/>
    </row>
    <row r="8">
      <c r="A8" s="132" t="str">
        <f>'Project Team'!A8</f>
        <v>Hofmann</v>
      </c>
      <c r="B8" s="132" t="str">
        <f>'Project Team'!B8</f>
        <v>Leo</v>
      </c>
      <c r="C8" s="142"/>
      <c r="D8" s="144"/>
      <c r="E8" s="145">
        <v>2.0</v>
      </c>
      <c r="F8" s="146" t="s">
        <v>454</v>
      </c>
      <c r="G8" s="137"/>
      <c r="H8" s="137"/>
    </row>
    <row r="9">
      <c r="A9" s="138" t="str">
        <f>'Project Team'!A9</f>
        <v>Knecht</v>
      </c>
      <c r="B9" s="138" t="str">
        <f>'Project Team'!B9</f>
        <v>Sebastian</v>
      </c>
      <c r="C9" s="142"/>
      <c r="D9" s="143"/>
      <c r="E9" s="145">
        <v>3.0</v>
      </c>
      <c r="F9" s="146" t="s">
        <v>455</v>
      </c>
      <c r="G9" s="140"/>
      <c r="H9" s="140"/>
    </row>
    <row r="10">
      <c r="A10" s="132" t="str">
        <f>'Project Team'!A10</f>
        <v/>
      </c>
      <c r="B10" s="132" t="str">
        <f>'Project Team'!B10</f>
        <v/>
      </c>
      <c r="C10" s="142"/>
      <c r="D10" s="144"/>
      <c r="E10" s="145">
        <v>5.0</v>
      </c>
      <c r="F10" s="146" t="s">
        <v>456</v>
      </c>
      <c r="G10" s="137"/>
      <c r="H10" s="137"/>
    </row>
    <row r="11">
      <c r="A11" s="138"/>
      <c r="B11" s="138"/>
      <c r="C11" s="141"/>
      <c r="D11" s="143"/>
      <c r="E11" s="145">
        <v>8.0</v>
      </c>
      <c r="F11" s="146" t="s">
        <v>457</v>
      </c>
      <c r="G11" s="140"/>
      <c r="H11" s="140"/>
    </row>
    <row r="12">
      <c r="A12" s="132"/>
      <c r="B12" s="132"/>
      <c r="C12" s="141"/>
      <c r="D12" s="144"/>
      <c r="E12" s="145">
        <v>13.0</v>
      </c>
      <c r="F12" s="146" t="s">
        <v>458</v>
      </c>
      <c r="G12" s="137"/>
      <c r="H12" s="137"/>
    </row>
    <row r="13">
      <c r="A13" s="138"/>
      <c r="B13" s="138"/>
      <c r="C13" s="143"/>
      <c r="D13" s="143"/>
      <c r="E13" s="143"/>
      <c r="F13" s="143"/>
      <c r="G13" s="140"/>
      <c r="H13" s="140"/>
    </row>
    <row r="14">
      <c r="A14" s="147" t="s">
        <v>459</v>
      </c>
      <c r="B14" s="148"/>
      <c r="C14" s="148"/>
      <c r="D14" s="148"/>
      <c r="E14" s="148"/>
      <c r="F14" s="148"/>
      <c r="G14" s="148"/>
      <c r="H14" s="148"/>
    </row>
    <row r="15">
      <c r="A15" s="149"/>
      <c r="B15" s="149"/>
      <c r="C15" s="149"/>
      <c r="D15" s="149"/>
      <c r="E15" s="149"/>
      <c r="F15" s="149"/>
      <c r="G15" s="149"/>
      <c r="H15" s="149"/>
    </row>
    <row r="16">
      <c r="A16" s="150" t="s">
        <v>460</v>
      </c>
      <c r="B16" s="151"/>
      <c r="C16" s="151"/>
      <c r="D16" s="151"/>
      <c r="E16" s="151"/>
      <c r="F16" s="151"/>
      <c r="G16" s="151"/>
      <c r="H16" s="151"/>
    </row>
    <row r="17">
      <c r="A17" s="152" t="s">
        <v>461</v>
      </c>
      <c r="B17" s="149"/>
      <c r="C17" s="149"/>
      <c r="D17" s="149"/>
      <c r="E17" s="149"/>
      <c r="F17" s="149"/>
      <c r="G17" s="149"/>
      <c r="H17" s="149"/>
    </row>
    <row r="18">
      <c r="A18" s="150" t="s">
        <v>462</v>
      </c>
      <c r="B18" s="151"/>
      <c r="C18" s="151"/>
      <c r="D18" s="151"/>
      <c r="E18" s="151"/>
      <c r="F18" s="151"/>
      <c r="G18" s="151"/>
      <c r="H18" s="151"/>
    </row>
    <row r="19">
      <c r="A19" s="149"/>
      <c r="B19" s="149"/>
      <c r="C19" s="149"/>
      <c r="D19" s="149"/>
      <c r="E19" s="149"/>
      <c r="F19" s="149"/>
      <c r="G19" s="149"/>
      <c r="H19" s="149"/>
    </row>
    <row r="20">
      <c r="A20" s="151"/>
      <c r="B20" s="151"/>
      <c r="C20" s="151"/>
      <c r="D20" s="151"/>
      <c r="E20" s="151"/>
      <c r="F20" s="151"/>
      <c r="G20" s="151"/>
      <c r="H20" s="151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