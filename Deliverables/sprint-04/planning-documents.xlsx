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Data" sheetId="1" r:id="rId3"/>
    <sheet state="visible" name="Project Team" sheetId="2" r:id="rId4"/>
    <sheet state="visible" name="Role Assignments" sheetId="3" r:id="rId5"/>
    <sheet state="visible" name="Team Contract" sheetId="4" r:id="rId6"/>
    <sheet state="visible" name="Product Goal" sheetId="5" r:id="rId7"/>
    <sheet state="visible" name="Product Glossary" sheetId="6" r:id="rId8"/>
    <sheet state="visible" name="Sprint Goals" sheetId="7" r:id="rId9"/>
    <sheet state="visible" name="Velocity Tracking" sheetId="8" r:id="rId10"/>
    <sheet state="visible" name="Velocity Chart" sheetId="9" r:id="rId11"/>
    <sheet state="visible" name="Mid-Project Release plan" sheetId="10" r:id="rId12"/>
    <sheet state="visible" name="Final Project Release plan" sheetId="11" r:id="rId13"/>
    <sheet state="visible" name="Definition of Done" sheetId="12" r:id="rId14"/>
    <sheet state="visible" name="Documentation" sheetId="13" r:id="rId15"/>
    <sheet state="visible" name="Bill of Materials" sheetId="14" r:id="rId16"/>
    <sheet state="visible" name="Planning Poker" sheetId="15" r:id="rId17"/>
  </sheets>
  <definedNames/>
  <calcPr/>
</workbook>
</file>

<file path=xl/sharedStrings.xml><?xml version="1.0" encoding="utf-8"?>
<sst xmlns="http://schemas.openxmlformats.org/spreadsheetml/2006/main" count="704" uniqueCount="386">
  <si>
    <t>Project Name</t>
  </si>
  <si>
    <t>...</t>
  </si>
  <si>
    <t>Online team meeting</t>
  </si>
  <si>
    <t>https://fau.zoom-x.de/j/3913240515?pwd=TWo2NkZmaVZFWDVKckNKVzQyRG4zdz09</t>
  </si>
  <si>
    <t>Production system (if any)</t>
  </si>
  <si>
    <t>TBT</t>
  </si>
  <si>
    <t>Test system (if any)</t>
  </si>
  <si>
    <t>GitHub repository</t>
  </si>
  <si>
    <t>https://github.com/amosproj/amos2025ws01-opensearch-load-tester</t>
  </si>
  <si>
    <t>GitHub feature board</t>
  </si>
  <si>
    <t>https://github.com/orgs/amosproj/projects/89/views/2</t>
  </si>
  <si>
    <t>GitHub imp-squared backlog</t>
  </si>
  <si>
    <t>https://github.com/orgs/amosproj/projects/93/views/1</t>
  </si>
  <si>
    <t>Team T-shirt (white)</t>
  </si>
  <si>
    <t>https://www.shirtinator.de/en/s/nasAq-u7RjO3FQ4BPPUSLw</t>
  </si>
  <si>
    <t>Team T-shirt (black)</t>
  </si>
  <si>
    <t>https://www.shirtinator.de/en/s/0VuwTYIwRviJfsV7ERwamA</t>
  </si>
  <si>
    <t>Additional materials</t>
  </si>
  <si>
    <t>Team maling list</t>
  </si>
  <si>
    <t>oss-amos-proj1@lists.fau.de</t>
  </si>
  <si>
    <t>Last Name</t>
  </si>
  <si>
    <t>First Name</t>
  </si>
  <si>
    <t>GitHub User Name</t>
  </si>
  <si>
    <t>Email Address</t>
  </si>
  <si>
    <t>Lorenz</t>
  </si>
  <si>
    <t>Alexander</t>
  </si>
  <si>
    <t>Hydraneut</t>
  </si>
  <si>
    <t>alexander.lorenz@fau.de</t>
  </si>
  <si>
    <t>Buchner</t>
  </si>
  <si>
    <t>Lea</t>
  </si>
  <si>
    <t>LeaBuchner</t>
  </si>
  <si>
    <r>
      <rPr>
        <rFont val="arial,sans,sans-serif"/>
        <color rgb="FF1155CC"/>
        <u/>
      </rPr>
      <t>lea.buchner@fau.de</t>
    </r>
  </si>
  <si>
    <t>Engelhard</t>
  </si>
  <si>
    <t>Dirk</t>
  </si>
  <si>
    <t>engelharddirk</t>
  </si>
  <si>
    <t>dirk.engelhard@fau.de</t>
  </si>
  <si>
    <t>Strachwitz</t>
  </si>
  <si>
    <t>Carlo</t>
  </si>
  <si>
    <t>Carlit0</t>
  </si>
  <si>
    <r>
      <rPr>
        <rFont val="arial,sans,sans-serif"/>
        <color rgb="FF1155CC"/>
        <u/>
      </rPr>
      <t>carlostrachwitz@gmail.com</t>
    </r>
  </si>
  <si>
    <t>Belz</t>
  </si>
  <si>
    <t>Sara</t>
  </si>
  <si>
    <t>SaraBelz</t>
  </si>
  <si>
    <r>
      <rPr>
        <rFont val="arial,sans,sans-serif"/>
        <color rgb="FF1155CC"/>
        <u/>
      </rPr>
      <t>sara.belz@fau.de</t>
    </r>
  </si>
  <si>
    <t>Becker</t>
  </si>
  <si>
    <t>Eugen</t>
  </si>
  <si>
    <t>BeEugen</t>
  </si>
  <si>
    <r>
      <rPr>
        <rFont val="arial,sans,sans-serif"/>
        <color rgb="FF1155CC"/>
        <u/>
      </rPr>
      <t>eugen.becker@fau.de</t>
    </r>
  </si>
  <si>
    <t>Hofmann</t>
  </si>
  <si>
    <t>Leo</t>
  </si>
  <si>
    <t>Leolingio</t>
  </si>
  <si>
    <t>leohof23@gmail.com</t>
  </si>
  <si>
    <t>Knecht</t>
  </si>
  <si>
    <t>Sebastian</t>
  </si>
  <si>
    <t>SeboKnt</t>
  </si>
  <si>
    <t>sebastian.knecht@fau.de</t>
  </si>
  <si>
    <t>Product Owner</t>
  </si>
  <si>
    <t>#</t>
  </si>
  <si>
    <t>Meeting Day</t>
  </si>
  <si>
    <t>Review</t>
  </si>
  <si>
    <t>Planning</t>
  </si>
  <si>
    <t>Software Developer</t>
  </si>
  <si>
    <t>Release Manager</t>
  </si>
  <si>
    <t>Scrum Master</t>
  </si>
  <si>
    <t>Comment</t>
  </si>
  <si>
    <t>both</t>
  </si>
  <si>
    <t>Everyone else</t>
  </si>
  <si>
    <t>N/A</t>
  </si>
  <si>
    <t>Alexander Lorenz</t>
  </si>
  <si>
    <t>Lea Buchner</t>
  </si>
  <si>
    <t>Dirk Engelhard</t>
  </si>
  <si>
    <t>Carlo Strachwitz</t>
  </si>
  <si>
    <t>Build process review</t>
  </si>
  <si>
    <t>Leo Hofmann</t>
  </si>
  <si>
    <t>Sara Belz</t>
  </si>
  <si>
    <t>Sebastian Knecht</t>
  </si>
  <si>
    <t>Mid-term due</t>
  </si>
  <si>
    <t>Eugen Becker</t>
  </si>
  <si>
    <t>Team Workshop</t>
  </si>
  <si>
    <t>No class but team meeting</t>
  </si>
  <si>
    <t>Demo day!+retrospective</t>
  </si>
  <si>
    <t>Product owners, software developers, and Scurm Master are set and ideally don't change over time; the critical part is the Release Manager role you need to define here</t>
  </si>
  <si>
    <t>Goals</t>
  </si>
  <si>
    <t>achieve the project goal</t>
  </si>
  <si>
    <t>get inside into the scrum and agile process</t>
  </si>
  <si>
    <t>improve practical development skills</t>
  </si>
  <si>
    <t>create something worth using</t>
  </si>
  <si>
    <t>Meeting norms</t>
  </si>
  <si>
    <t>everybody should feel safe</t>
  </si>
  <si>
    <t>be punctual</t>
  </si>
  <si>
    <t>Absence from meetings should be (if possible) declared a day in advance</t>
  </si>
  <si>
    <t>Working norms</t>
  </si>
  <si>
    <t>open door policy (everybody should be allowed to do mistakes)</t>
  </si>
  <si>
    <t>maintaining good documentation</t>
  </si>
  <si>
    <t>Backlog items are assigned by the developers themselve before they work (outside the team meeting)</t>
  </si>
  <si>
    <t>Coordination norms</t>
  </si>
  <si>
    <t>every Backlog item has at least 1 deticated person (if work has already started on it)</t>
  </si>
  <si>
    <t>Contributers assigne them self to bakclog items</t>
  </si>
  <si>
    <t>Communication norms</t>
  </si>
  <si>
    <t>meetings take place in english unless stated otherwise</t>
  </si>
  <si>
    <t>stick to the topic of the channel</t>
  </si>
  <si>
    <t>We use discord as our primary method of communication</t>
  </si>
  <si>
    <t>we check discord at least once a day (and react if needed)</t>
  </si>
  <si>
    <t>We use Whatsapp for urgent communication (less than an hour)</t>
  </si>
  <si>
    <t>Consideration norms</t>
  </si>
  <si>
    <t>If you see something say something</t>
  </si>
  <si>
    <t>We decide with majority vote</t>
  </si>
  <si>
    <t>If we think we could help we extend it</t>
  </si>
  <si>
    <t>Cont. improvement norms</t>
  </si>
  <si>
    <t>constructive feedback is always welcome</t>
  </si>
  <si>
    <t>We jointly review the happiness index</t>
  </si>
  <si>
    <t>Rewards</t>
  </si>
  <si>
    <t>celebrate successes</t>
  </si>
  <si>
    <t>Appreciation and praise</t>
  </si>
  <si>
    <t>Sanctions</t>
  </si>
  <si>
    <t>apoligize sincerly</t>
  </si>
  <si>
    <t>and find a funny way to apoligize</t>
  </si>
  <si>
    <t>Signatures</t>
  </si>
  <si>
    <t>Product owner</t>
  </si>
  <si>
    <t>Software developer</t>
  </si>
  <si>
    <t>Product Vision</t>
  </si>
  <si>
    <t>Project Mission</t>
  </si>
  <si>
    <t>The reason of existence of the envisioned product (beyond this project).</t>
  </si>
  <si>
    <t>The mission of this particular project (in the context of the product vision).</t>
  </si>
  <si>
    <t>Term</t>
  </si>
  <si>
    <t>Definition</t>
  </si>
  <si>
    <t>Sprint #</t>
  </si>
  <si>
    <t>Sprint goal</t>
  </si>
  <si>
    <t>None</t>
  </si>
  <si>
    <t>Optional</t>
  </si>
  <si>
    <t>Write your sprint goal here</t>
  </si>
  <si>
    <t>Story Points Realized</t>
  </si>
  <si>
    <t>PLEASE CREATE THE VELOCITY CHART ON A NEW TAB USING THE DATA FROM THIS TAB</t>
  </si>
  <si>
    <t>Sprint</t>
  </si>
  <si>
    <t>Goal</t>
  </si>
  <si>
    <t>Feature Name</t>
  </si>
  <si>
    <t>Est. size</t>
  </si>
  <si>
    <t>Est. remaining</t>
  </si>
  <si>
    <t>Real size</t>
  </si>
  <si>
    <t>Real remaining</t>
  </si>
  <si>
    <t>Release</t>
  </si>
  <si>
    <t>Total</t>
  </si>
  <si>
    <t>Sprints</t>
  </si>
  <si>
    <t>Estimated burn-down</t>
  </si>
  <si>
    <t>Real burn-down</t>
  </si>
  <si>
    <t>Features</t>
  </si>
  <si>
    <t>PLEASE CREATE THE BURNDOWN CHART ON A NEW TAB USING THE DATA FROM THIS TAB</t>
  </si>
  <si>
    <t>Feature Definition of Done</t>
  </si>
  <si>
    <t>Sprint Release Definition of Done</t>
  </si>
  <si>
    <t>Project Release Definition of Done</t>
  </si>
  <si>
    <t>Type</t>
  </si>
  <si>
    <t>Link / reference</t>
  </si>
  <si>
    <t>Context</t>
  </si>
  <si>
    <t>Name</t>
  </si>
  <si>
    <t>Version</t>
  </si>
  <si>
    <t>License</t>
  </si>
  <si>
    <t>environment</t>
  </si>
  <si>
    <t>Eclipse Temurin OpenJDK</t>
  </si>
  <si>
    <t>25 (LTS)</t>
  </si>
  <si>
    <t>GPL-2.0 with Classpath Exception</t>
  </si>
  <si>
    <t>Java runtime used for building and running the application</t>
  </si>
  <si>
    <t>Docker</t>
  </si>
  <si>
    <t>28.5.1</t>
  </si>
  <si>
    <t>Apache-2.0</t>
  </si>
  <si>
    <t>Container environment for running OpenSearch and Load Tester services</t>
  </si>
  <si>
    <t>tool</t>
  </si>
  <si>
    <t>Apache Maven</t>
  </si>
  <si>
    <t>3.9.11</t>
  </si>
  <si>
    <t>Build automation and dependency management tool</t>
  </si>
  <si>
    <t>library</t>
  </si>
  <si>
    <t>spring-boot-starter</t>
  </si>
  <si>
    <t>3.5.7</t>
  </si>
  <si>
    <t>Entry point for Spring Boot dependency management</t>
  </si>
  <si>
    <t>spring-boot</t>
  </si>
  <si>
    <t>Core framework providing auto-configuration and runtime support</t>
  </si>
  <si>
    <t>spring-context</t>
  </si>
  <si>
    <t>6.2.12</t>
  </si>
  <si>
    <t>Dependency injection and application context management</t>
  </si>
  <si>
    <t>spring-aop</t>
  </si>
  <si>
    <t>Aspect-oriented programming support</t>
  </si>
  <si>
    <t>spring-beans</t>
  </si>
  <si>
    <t>Bean creation and configuration framework</t>
  </si>
  <si>
    <t>spring-expression</t>
  </si>
  <si>
    <t>Spring Expression Language (SpEL) processing</t>
  </si>
  <si>
    <t>spring-boot-autoconfigure</t>
  </si>
  <si>
    <t>Automatically configures components based on classpath</t>
  </si>
  <si>
    <t>spring-boot-starter-logging</t>
  </si>
  <si>
    <t>Default logging configuration using Logback</t>
  </si>
  <si>
    <t>logback-classic</t>
  </si>
  <si>
    <t>1.5.20</t>
  </si>
  <si>
    <t>EPL-1.0</t>
  </si>
  <si>
    <t>Logging backend implementing SLF4J API</t>
  </si>
  <si>
    <t>logback-core</t>
  </si>
  <si>
    <t>Core utilities for Logback logging</t>
  </si>
  <si>
    <t>log4j-to-slf4j</t>
  </si>
  <si>
    <t>2.24.3</t>
  </si>
  <si>
    <t>Redirects Log4j 2 logs to SLF4J</t>
  </si>
  <si>
    <t>jul-to-slf4j</t>
  </si>
  <si>
    <t>2.0.17</t>
  </si>
  <si>
    <t>MIT</t>
  </si>
  <si>
    <t>Bridges java.util.logging to SLF4J</t>
  </si>
  <si>
    <t>jakarta.annotation-api</t>
  </si>
  <si>
    <t>2.1.1</t>
  </si>
  <si>
    <t>EPL-2.0</t>
  </si>
  <si>
    <t>Jakarta annotations used by Spring components</t>
  </si>
  <si>
    <t>spring-core</t>
  </si>
  <si>
    <t>Core utilities and classloading framework of Spring</t>
  </si>
  <si>
    <t>spring-jcl</t>
  </si>
  <si>
    <t>Logging abstraction used internally by Spring</t>
  </si>
  <si>
    <t>snakeyaml</t>
  </si>
  <si>
    <t>YAML parser for configuration files</t>
  </si>
  <si>
    <t>micrometer-core</t>
  </si>
  <si>
    <t>1.15.5</t>
  </si>
  <si>
    <t>Core metrics collection API</t>
  </si>
  <si>
    <t>micrometer-commons</t>
  </si>
  <si>
    <t>Shared utilities for metrics instrumentation</t>
  </si>
  <si>
    <t>micrometer-observation</t>
  </si>
  <si>
    <t>Captures timing and observation data for metrics</t>
  </si>
  <si>
    <t>HdrHistogram</t>
  </si>
  <si>
    <t>2.2.2</t>
  </si>
  <si>
    <t>CC0-1.0</t>
  </si>
  <si>
    <t>High-resolution latency measurement library</t>
  </si>
  <si>
    <t>LatencyUtils</t>
  </si>
  <si>
    <t>2.0.3</t>
  </si>
  <si>
    <t>Helper utilities for latency tracking</t>
  </si>
  <si>
    <t>micrometer-registry-prometheus</t>
  </si>
  <si>
    <t>Exposes Micrometer metrics to Prometheus</t>
  </si>
  <si>
    <t>prometheus-metrics-core</t>
  </si>
  <si>
    <t>1.3.10</t>
  </si>
  <si>
    <t>Core Prometheus metrics collection</t>
  </si>
  <si>
    <t>prometheus-metrics-model</t>
  </si>
  <si>
    <t>Data model for Prometheus metrics</t>
  </si>
  <si>
    <t>prometheus-metrics-config</t>
  </si>
  <si>
    <t>Configuration utilities for Prometheus metrics</t>
  </si>
  <si>
    <t>prometheus-metrics-tracer-common</t>
  </si>
  <si>
    <t>Common tracing utilities for Prometheus exporters</t>
  </si>
  <si>
    <t>prometheus-metrics-exposition-formats</t>
  </si>
  <si>
    <t>Serialization formats for Prometheus metrics</t>
  </si>
  <si>
    <t>prometheus-metrics-exposition-textformats</t>
  </si>
  <si>
    <t>Text exposition format for Prometheus</t>
  </si>
  <si>
    <t>lombok</t>
  </si>
  <si>
    <t>1.18.34</t>
  </si>
  <si>
    <t>Generates boilerplate code (getters/setters, builders, etc.)</t>
  </si>
  <si>
    <t>opensearch-rest-high-level-client</t>
  </si>
  <si>
    <t>2.16.0</t>
  </si>
  <si>
    <t>REST client for interacting with OpenSearch clusters</t>
  </si>
  <si>
    <t>opensearch</t>
  </si>
  <si>
    <t>Core OpenSearch library</t>
  </si>
  <si>
    <t>opensearch-common</t>
  </si>
  <si>
    <t>Common interfaces and utilities for OpenSearch modules</t>
  </si>
  <si>
    <t>opensearch-core</t>
  </si>
  <si>
    <t>Core APIs for OpenSearch operations</t>
  </si>
  <si>
    <t>opensearch-compress</t>
  </si>
  <si>
    <t>Compression utilities used internally by OpenSearch</t>
  </si>
  <si>
    <t>zstd-jni</t>
  </si>
  <si>
    <t>1.5.5-5</t>
  </si>
  <si>
    <t>BSD-2-Clause</t>
  </si>
  <si>
    <t>Java bindings for Zstandard compression</t>
  </si>
  <si>
    <t>opensearch-secure-sm</t>
  </si>
  <si>
    <t>Security manager integration for OpenSearch</t>
  </si>
  <si>
    <t>opensearch-x-content</t>
  </si>
  <si>
    <t>Serialization/deserialization utilities in OpenSearch</t>
  </si>
  <si>
    <t>jackson-dataformat-smile</t>
  </si>
  <si>
    <t>2.19.2</t>
  </si>
  <si>
    <t>Jackson module for Smile binary JSON</t>
  </si>
  <si>
    <t>jackson-dataformat-cbor</t>
  </si>
  <si>
    <t>Jackson module for CBOR binary JSON</t>
  </si>
  <si>
    <t>opensearch-geo</t>
  </si>
  <si>
    <t>Geospatial data and query support for OpenSearch</t>
  </si>
  <si>
    <t>opensearch-telemetry</t>
  </si>
  <si>
    <t>Telemetry and monitoring features for OpenSearch</t>
  </si>
  <si>
    <t>lucene-core</t>
  </si>
  <si>
    <t>9.11.1</t>
  </si>
  <si>
    <t>Core search and indexing engine powering OpenSearch</t>
  </si>
  <si>
    <t>lucene-analysis-common</t>
  </si>
  <si>
    <t>Text analysis and tokenization utilities</t>
  </si>
  <si>
    <t>lucene-backward-codecs</t>
  </si>
  <si>
    <t>Backward-compatible codecs for old Lucene versions</t>
  </si>
  <si>
    <t>lucene-grouping</t>
  </si>
  <si>
    <t>Implements result grouping and field collapsing</t>
  </si>
  <si>
    <t>lucene-highlighter</t>
  </si>
  <si>
    <t>Highlighting support for search result snippets</t>
  </si>
  <si>
    <t>lucene-join</t>
  </si>
  <si>
    <t>Supports join queries between documents</t>
  </si>
  <si>
    <t>lucene-memory</t>
  </si>
  <si>
    <t>In-memory index structures for fast search</t>
  </si>
  <si>
    <t>lucene-misc</t>
  </si>
  <si>
    <t>Miscellaneous utilities and experimental features</t>
  </si>
  <si>
    <t>lucene-queries</t>
  </si>
  <si>
    <t>Advanced query utilities and filters</t>
  </si>
  <si>
    <t>lucene-queryparser</t>
  </si>
  <si>
    <t>Parses textual queries into Lucene queries</t>
  </si>
  <si>
    <t>lucene-sandbox</t>
  </si>
  <si>
    <t>Experimental Lucene modules</t>
  </si>
  <si>
    <t>lucene-spatial-extras</t>
  </si>
  <si>
    <t>Spatial/geographic query utilities</t>
  </si>
  <si>
    <t>lucene-spatial3d</t>
  </si>
  <si>
    <t>3D geospatial shapes and indexing</t>
  </si>
  <si>
    <t>lucene-suggest</t>
  </si>
  <si>
    <t>Suggestion/autocomplete engine</t>
  </si>
  <si>
    <t>opensearch-cli</t>
  </si>
  <si>
    <t>Command-line tools for OpenSearch management</t>
  </si>
  <si>
    <t>jopt-simple</t>
  </si>
  <si>
    <t>5.0.4</t>
  </si>
  <si>
    <t>Command-line option parser</t>
  </si>
  <si>
    <t>joda-time</t>
  </si>
  <si>
    <t>2.12.7</t>
  </si>
  <si>
    <t>Date and time handling library</t>
  </si>
  <si>
    <t>t-digest</t>
  </si>
  <si>
    <t>Statistical distribution estimation for percentiles</t>
  </si>
  <si>
    <t>log4j-api</t>
  </si>
  <si>
    <t>Core Log4j 2 API</t>
  </si>
  <si>
    <t>log4j-jul</t>
  </si>
  <si>
    <t>Bridge for Java Util Logging to Log4j</t>
  </si>
  <si>
    <t>jna</t>
  </si>
  <si>
    <t>5.13.0</t>
  </si>
  <si>
    <t>LGPL-2.1-or-later OR Apache-2.0</t>
  </si>
  <si>
    <t>Java Native Access for system-level operations</t>
  </si>
  <si>
    <t>jzlib</t>
  </si>
  <si>
    <t>1.1.3</t>
  </si>
  <si>
    <t>BSD-4-Clause</t>
  </si>
  <si>
    <t>Java implementation of zlib compression</t>
  </si>
  <si>
    <t>reactor-core</t>
  </si>
  <si>
    <t>3.7.12</t>
  </si>
  <si>
    <t>Reactive programming support (Project Reactor)</t>
  </si>
  <si>
    <t>reactive-streams</t>
  </si>
  <si>
    <t>1.0.4</t>
  </si>
  <si>
    <t>MIT-0</t>
  </si>
  <si>
    <t>Minimal reactive streams specification</t>
  </si>
  <si>
    <t>protobuf-java</t>
  </si>
  <si>
    <t>3.22.3</t>
  </si>
  <si>
    <t>BSD-3-Clause</t>
  </si>
  <si>
    <t>Google Protocol Buffers serialization</t>
  </si>
  <si>
    <t>opensearch-rest-client</t>
  </si>
  <si>
    <t>Low-level REST client for OpenSearch</t>
  </si>
  <si>
    <t>httpclient</t>
  </si>
  <si>
    <t>4.5.14</t>
  </si>
  <si>
    <t>Apache HTTP client for network communication</t>
  </si>
  <si>
    <t>httpcore</t>
  </si>
  <si>
    <t>4.4.16</t>
  </si>
  <si>
    <t>Core transport components for Apache HTTP client</t>
  </si>
  <si>
    <t>httpasyncclient</t>
  </si>
  <si>
    <t>4.1.5</t>
  </si>
  <si>
    <t>Asynchronous HTTP client for non-blocking I/O</t>
  </si>
  <si>
    <t>httpcore-nio</t>
  </si>
  <si>
    <t>NIO transport layer for asynchronous HTTP</t>
  </si>
  <si>
    <t>commons-codec</t>
  </si>
  <si>
    <t>1.18.0</t>
  </si>
  <si>
    <t>Utility library for encoding/decoding formats</t>
  </si>
  <si>
    <t>commons-logging</t>
  </si>
  <si>
    <t>Lightweight logging abstraction</t>
  </si>
  <si>
    <t>mapper-extras-client</t>
  </si>
  <si>
    <t>Additional mapping features for OpenSearch</t>
  </si>
  <si>
    <t>parent-join-client</t>
  </si>
  <si>
    <t>Supports parent-child relationships in OpenSearch</t>
  </si>
  <si>
    <t>aggs-matrix-stats-client</t>
  </si>
  <si>
    <t>Advanced aggregation statistics module</t>
  </si>
  <si>
    <t>rank-eval-client</t>
  </si>
  <si>
    <t>Ranking evaluation tools for OpenSearch</t>
  </si>
  <si>
    <t>lang-mustache-client</t>
  </si>
  <si>
    <t>Template rendering support (Mustache)</t>
  </si>
  <si>
    <t>compiler</t>
  </si>
  <si>
    <t>0.9.14</t>
  </si>
  <si>
    <t>Annotation processing and compilation utilities</t>
  </si>
  <si>
    <t>jackson-dataformat-yaml</t>
  </si>
  <si>
    <t>YAML serialization and deserialization</t>
  </si>
  <si>
    <t>jackson-databind</t>
  </si>
  <si>
    <t>Object–JSON mapping framework</t>
  </si>
  <si>
    <t>jackson-annotations</t>
  </si>
  <si>
    <t>Annotations for Jackson serialization/deserialization</t>
  </si>
  <si>
    <t>jackson-core</t>
  </si>
  <si>
    <t>Core streaming JSON processor</t>
  </si>
  <si>
    <t>slf4j-api</t>
  </si>
  <si>
    <t>Unified logging abstraction layer</t>
  </si>
  <si>
    <t>Value</t>
  </si>
  <si>
    <t>No size</t>
  </si>
  <si>
    <t>Trivial size</t>
  </si>
  <si>
    <t>Small size</t>
  </si>
  <si>
    <t>Medium size</t>
  </si>
  <si>
    <t>Large size</t>
  </si>
  <si>
    <t>Very large size</t>
  </si>
  <si>
    <t>Too large (size)</t>
  </si>
  <si>
    <t>How to play planning poker</t>
  </si>
  <si>
    <t>1. Everyone type their number into their value field, don't hit return yet</t>
  </si>
  <si>
    <t>2. Someone, perhaps a product owner, count down 3.. 2.. 1..</t>
  </si>
  <si>
    <t>3. Then, everyone hit return to submit their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</si>
</sst>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&quot;-&quot;mm&quot;-&quot;dd"/>
    <numFmt numFmtId="165" formatCode="yyyy-mm-dd"/>
  </numFmts>
  <fonts count="16">
    <font>
      <sz val="10.0"/>
      <color rgb="FF000000"/>
      <name val="Arial"/>
    </font>
    <font>
      <b/>
    </font>
    <font/>
    <font>
      <u/>
      <color rgb="FF1155CC"/>
      <name val="Arial"/>
    </font>
    <font>
      <name val="Arial"/>
    </font>
    <font>
      <u/>
      <color rgb="FF1155CC"/>
      <name val="Arial"/>
    </font>
    <font>
      <u/>
      <color rgb="FF1155CC"/>
      <name val="Arial"/>
    </font>
    <font>
      <u/>
      <color rgb="FF0000FF"/>
    </font>
    <font>
      <b/>
      <name val="Arial"/>
    </font>
    <font>
      <sz val="11.0"/>
      <name val="Arial"/>
    </font>
    <font>
      <u/>
      <color rgb="FF1155CC"/>
      <name val="Arial"/>
    </font>
    <font>
      <u/>
      <color rgb="FF0000FF"/>
      <name val="Arial"/>
    </font>
    <font>
      <color rgb="FF000000"/>
      <name val="Arial"/>
    </font>
    <font>
      <color rgb="FFFFFFFF"/>
      <name val="Arial"/>
    </font>
    <font>
      <color rgb="FF000000"/>
    </font>
    <font>
      <b/>
      <sz val="24.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BDBDBD"/>
        <bgColor rgb="FFBDBDBD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33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2" fontId="3" numFmtId="0" xfId="0" applyAlignment="1" applyFill="1" applyFont="1">
      <alignment shrinkToFit="0" vertical="bottom" wrapText="1"/>
    </xf>
    <xf borderId="0" fillId="3" fontId="4" numFmtId="0" xfId="0" applyAlignment="1" applyFill="1" applyFont="1">
      <alignment shrinkToFit="0" vertical="bottom" wrapText="1"/>
    </xf>
    <xf borderId="0" fillId="2" fontId="4" numFmtId="0" xfId="0" applyAlignment="1" applyFont="1">
      <alignment readingOrder="0" shrinkToFit="0" vertical="bottom" wrapText="1"/>
    </xf>
    <xf borderId="0" fillId="3" fontId="4" numFmtId="0" xfId="0" applyAlignment="1" applyFont="1">
      <alignment readingOrder="0" shrinkToFit="0" vertical="bottom" wrapText="1"/>
    </xf>
    <xf borderId="0" fillId="2" fontId="4" numFmtId="0" xfId="0" applyAlignment="1" applyFont="1">
      <alignment shrinkToFit="0" vertical="bottom" wrapText="1"/>
    </xf>
    <xf borderId="0" fillId="3" fontId="5" numFmtId="0" xfId="0" applyAlignment="1" applyFont="1">
      <alignment shrinkToFit="0" vertical="bottom" wrapText="1"/>
    </xf>
    <xf borderId="0" fillId="3" fontId="6" numFmtId="0" xfId="0" applyAlignment="1" applyFont="1">
      <alignment shrinkToFit="0" vertical="bottom" wrapText="1"/>
    </xf>
    <xf borderId="0" fillId="0" fontId="7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4" fontId="8" numFmtId="0" xfId="0" applyAlignment="1" applyFill="1" applyFont="1">
      <alignment shrinkToFit="0" vertical="bottom" wrapText="0"/>
    </xf>
    <xf borderId="0" fillId="3" fontId="4" numFmtId="0" xfId="0" applyAlignment="1" applyFont="1">
      <alignment shrinkToFit="0" vertical="bottom" wrapText="0"/>
    </xf>
    <xf borderId="0" fillId="2" fontId="4" numFmtId="0" xfId="0" applyAlignment="1" applyFont="1">
      <alignment shrinkToFit="0" vertical="bottom" wrapText="1"/>
    </xf>
    <xf borderId="0" fillId="2" fontId="9" numFmtId="0" xfId="0" applyAlignment="1" applyFont="1">
      <alignment shrinkToFit="0" vertical="bottom" wrapText="1"/>
    </xf>
    <xf borderId="0" fillId="2" fontId="10" numFmtId="0" xfId="0" applyAlignment="1" applyFont="1">
      <alignment shrinkToFit="0" vertical="bottom" wrapText="1"/>
    </xf>
    <xf borderId="0" fillId="3" fontId="4" numFmtId="0" xfId="0" applyAlignment="1" applyFont="1">
      <alignment shrinkToFit="0" vertical="bottom" wrapText="1"/>
    </xf>
    <xf borderId="0" fillId="3" fontId="4" numFmtId="0" xfId="0" applyAlignment="1" applyFont="1">
      <alignment readingOrder="0" shrinkToFit="0" vertical="bottom" wrapText="0"/>
    </xf>
    <xf borderId="0" fillId="2" fontId="4" numFmtId="0" xfId="0" applyAlignment="1" applyFont="1">
      <alignment shrinkToFit="0" vertical="bottom" wrapText="0"/>
    </xf>
    <xf borderId="0" fillId="2" fontId="4" numFmtId="0" xfId="0" applyAlignment="1" applyFont="1">
      <alignment shrinkToFit="0" vertical="bottom" wrapText="0"/>
    </xf>
    <xf borderId="0" fillId="2" fontId="11" numFmtId="0" xfId="0" applyAlignment="1" applyFont="1">
      <alignment readingOrder="0" shrinkToFit="0" vertical="bottom" wrapText="1"/>
    </xf>
    <xf borderId="0" fillId="3" fontId="12" numFmtId="0" xfId="0" applyAlignment="1" applyFont="1">
      <alignment shrinkToFit="0" vertical="bottom" wrapText="1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4" fontId="4" numFmtId="0" xfId="0" applyAlignment="1" applyFont="1">
      <alignment shrinkToFit="0" vertical="bottom" wrapText="1"/>
    </xf>
    <xf borderId="0" fillId="4" fontId="8" numFmtId="0" xfId="0" applyAlignment="1" applyFont="1">
      <alignment horizontal="center" shrinkToFit="0" vertical="bottom" wrapText="0"/>
    </xf>
    <xf borderId="0" fillId="4" fontId="4" numFmtId="0" xfId="0" applyAlignment="1" applyFont="1">
      <alignment shrinkToFit="0" vertical="bottom" wrapText="1"/>
    </xf>
    <xf borderId="0" fillId="4" fontId="8" numFmtId="0" xfId="0" applyAlignment="1" applyFont="1">
      <alignment horizontal="center" shrinkToFit="0" vertical="bottom" wrapText="0"/>
    </xf>
    <xf borderId="0" fillId="4" fontId="8" numFmtId="0" xfId="0" applyAlignment="1" applyFont="1">
      <alignment horizontal="center" shrinkToFit="0" vertical="bottom" wrapText="0"/>
    </xf>
    <xf borderId="0" fillId="3" fontId="4" numFmtId="0" xfId="0" applyAlignment="1" applyFont="1">
      <alignment horizontal="center" shrinkToFit="0" vertical="bottom" wrapText="0"/>
    </xf>
    <xf borderId="0" fillId="3" fontId="4" numFmtId="164" xfId="0" applyAlignment="1" applyFont="1" applyNumberFormat="1">
      <alignment horizontal="right" shrinkToFit="0" vertical="bottom" wrapText="1"/>
    </xf>
    <xf borderId="0" fillId="3" fontId="4" numFmtId="164" xfId="0" applyAlignment="1" applyFont="1" applyNumberFormat="1">
      <alignment shrinkToFit="0" vertical="bottom" wrapText="1"/>
    </xf>
    <xf borderId="0" fillId="2" fontId="4" numFmtId="0" xfId="0" applyAlignment="1" applyFont="1">
      <alignment horizontal="center" shrinkToFit="0" vertical="bottom" wrapText="0"/>
    </xf>
    <xf borderId="0" fillId="2" fontId="4" numFmtId="165" xfId="0" applyAlignment="1" applyFont="1" applyNumberFormat="1">
      <alignment horizontal="right" shrinkToFit="0" vertical="bottom" wrapText="1"/>
    </xf>
    <xf borderId="0" fillId="2" fontId="4" numFmtId="164" xfId="0" applyAlignment="1" applyFont="1" applyNumberFormat="1">
      <alignment shrinkToFit="0" vertical="bottom" wrapText="1"/>
    </xf>
    <xf borderId="0" fillId="3" fontId="4" numFmtId="165" xfId="0" applyAlignment="1" applyFont="1" applyNumberFormat="1">
      <alignment horizontal="right" shrinkToFit="0" vertical="bottom" wrapText="1"/>
    </xf>
    <xf borderId="0" fillId="0" fontId="1" numFmtId="0" xfId="0" applyAlignment="1" applyFont="1">
      <alignment horizontal="left" readingOrder="0" shrinkToFit="0" wrapText="1"/>
    </xf>
    <xf borderId="0" fillId="3" fontId="4" numFmtId="0" xfId="0" applyAlignment="1" applyFont="1">
      <alignment shrinkToFit="0" vertical="bottom" wrapText="0"/>
    </xf>
    <xf borderId="0" fillId="2" fontId="4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shrinkToFit="0" wrapText="0"/>
    </xf>
    <xf borderId="0" fillId="0" fontId="2" numFmtId="164" xfId="0" applyAlignment="1" applyFont="1" applyNumberFormat="1">
      <alignment shrinkToFit="0" wrapText="0"/>
    </xf>
    <xf borderId="0" fillId="0" fontId="2" numFmtId="164" xfId="0" applyAlignment="1" applyFont="1" applyNumberFormat="1">
      <alignment horizontal="left" shrinkToFit="0" wrapText="0"/>
    </xf>
    <xf borderId="0" fillId="0" fontId="2" numFmtId="0" xfId="0" applyAlignment="1" applyFont="1">
      <alignment horizontal="left" readingOrder="0" shrinkToFit="0" wrapText="0"/>
    </xf>
    <xf borderId="0" fillId="0" fontId="2" numFmtId="164" xfId="0" applyAlignment="1" applyFont="1" applyNumberFormat="1">
      <alignment horizontal="left" shrinkToFit="0" wrapText="0"/>
    </xf>
    <xf borderId="0" fillId="0" fontId="2" numFmtId="0" xfId="0" applyAlignment="1" applyFont="1">
      <alignment horizontal="left" shrinkToFit="0" wrapText="0"/>
    </xf>
    <xf borderId="0" fillId="3" fontId="8" numFmtId="0" xfId="0" applyAlignment="1" applyFont="1">
      <alignment shrinkToFit="0" vertical="bottom" wrapText="1"/>
    </xf>
    <xf borderId="0" fillId="3" fontId="4" numFmtId="0" xfId="0" applyAlignment="1" applyFont="1">
      <alignment shrinkToFit="0" vertical="bottom" wrapText="1"/>
    </xf>
    <xf borderId="0" fillId="2" fontId="4" numFmtId="0" xfId="0" applyAlignment="1" applyFont="1">
      <alignment shrinkToFit="0" vertical="bottom" wrapText="1"/>
    </xf>
    <xf borderId="0" fillId="3" fontId="4" numFmtId="0" xfId="0" applyAlignment="1" applyFont="1">
      <alignment shrinkToFit="0" vertical="bottom" wrapText="1"/>
    </xf>
    <xf borderId="0" fillId="3" fontId="8" numFmtId="0" xfId="0" applyAlignment="1" applyFont="1">
      <alignment shrinkToFit="0" vertical="bottom" wrapText="1"/>
    </xf>
    <xf borderId="0" fillId="3" fontId="4" numFmtId="0" xfId="0" applyAlignment="1" applyFont="1">
      <alignment shrinkToFit="0" vertical="bottom" wrapText="0"/>
    </xf>
    <xf borderId="0" fillId="4" fontId="1" numFmtId="0" xfId="0" applyAlignment="1" applyFont="1">
      <alignment readingOrder="0" shrinkToFit="0" wrapText="1"/>
    </xf>
    <xf borderId="0" fillId="3" fontId="2" numFmtId="0" xfId="0" applyAlignment="1" applyFont="1">
      <alignment shrinkToFit="0" wrapText="1"/>
    </xf>
    <xf borderId="0" fillId="3" fontId="2" numFmtId="0" xfId="0" applyAlignment="1" applyFont="1">
      <alignment readingOrder="0" shrinkToFit="0" wrapText="1"/>
    </xf>
    <xf borderId="0" fillId="2" fontId="4" numFmtId="0" xfId="0" applyAlignment="1" applyFont="1">
      <alignment readingOrder="0" shrinkToFit="0" vertical="top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left" shrinkToFit="0" wrapText="1"/>
    </xf>
    <xf borderId="0" fillId="5" fontId="1" numFmtId="0" xfId="0" applyAlignment="1" applyFill="1" applyFont="1">
      <alignment readingOrder="0" shrinkToFit="0" wrapText="1"/>
    </xf>
    <xf borderId="0" fillId="4" fontId="8" numFmtId="0" xfId="0" applyAlignment="1" applyFont="1">
      <alignment horizontal="left" shrinkToFit="0" vertical="bottom" wrapText="1"/>
    </xf>
    <xf borderId="0" fillId="4" fontId="8" numFmtId="0" xfId="0" applyAlignment="1" applyFont="1">
      <alignment shrinkToFit="0" vertical="bottom" wrapText="0"/>
    </xf>
    <xf borderId="0" fillId="4" fontId="8" numFmtId="0" xfId="0" applyAlignment="1" applyFont="1">
      <alignment shrinkToFit="0" vertical="bottom" wrapText="0"/>
    </xf>
    <xf borderId="0" fillId="4" fontId="8" numFmtId="0" xfId="0" applyAlignment="1" applyFont="1">
      <alignment horizontal="center" readingOrder="0" shrinkToFit="0" vertical="bottom" wrapText="1"/>
    </xf>
    <xf borderId="0" fillId="3" fontId="4" numFmtId="0" xfId="0" applyAlignment="1" applyFont="1">
      <alignment horizontal="left" shrinkToFit="0" vertical="bottom" wrapText="1"/>
    </xf>
    <xf borderId="0" fillId="3" fontId="4" numFmtId="0" xfId="0" applyAlignment="1" applyFont="1">
      <alignment shrinkToFit="0" vertical="bottom" wrapText="0"/>
    </xf>
    <xf borderId="0" fillId="3" fontId="4" numFmtId="0" xfId="0" applyAlignment="1" applyFont="1">
      <alignment shrinkToFit="0" vertical="bottom" wrapText="1"/>
    </xf>
    <xf borderId="0" fillId="6" fontId="8" numFmtId="0" xfId="0" applyAlignment="1" applyFill="1" applyFont="1">
      <alignment horizontal="left" shrinkToFit="0" vertical="bottom" wrapText="0"/>
    </xf>
    <xf borderId="0" fillId="6" fontId="4" numFmtId="0" xfId="0" applyAlignment="1" applyFont="1">
      <alignment shrinkToFit="0" vertical="bottom" wrapText="0"/>
    </xf>
    <xf borderId="0" fillId="6" fontId="4" numFmtId="0" xfId="0" applyAlignment="1" applyFont="1">
      <alignment shrinkToFit="0" vertical="bottom" wrapText="1"/>
    </xf>
    <xf borderId="0" fillId="2" fontId="8" numFmtId="0" xfId="0" applyAlignment="1" applyFont="1">
      <alignment shrinkToFit="0" vertical="bottom" wrapText="0"/>
    </xf>
    <xf borderId="0" fillId="0" fontId="2" numFmtId="0" xfId="0" applyAlignment="1" applyFont="1">
      <alignment shrinkToFit="0" wrapText="0"/>
    </xf>
    <xf borderId="0" fillId="2" fontId="4" numFmtId="0" xfId="0" applyAlignment="1" applyFont="1">
      <alignment shrinkToFit="0" vertical="bottom" wrapText="1"/>
    </xf>
    <xf borderId="0" fillId="2" fontId="4" numFmtId="0" xfId="0" applyAlignment="1" applyFont="1">
      <alignment horizontal="right" shrinkToFit="0" vertical="bottom" wrapText="0"/>
    </xf>
    <xf borderId="0" fillId="7" fontId="8" numFmtId="0" xfId="0" applyAlignment="1" applyFill="1" applyFont="1">
      <alignment horizontal="left" shrinkToFit="0" vertical="bottom" wrapText="0"/>
    </xf>
    <xf borderId="0" fillId="7" fontId="8" numFmtId="0" xfId="0" applyAlignment="1" applyFont="1">
      <alignment shrinkToFit="0" vertical="bottom" wrapText="0"/>
    </xf>
    <xf borderId="0" fillId="7" fontId="4" numFmtId="0" xfId="0" applyAlignment="1" applyFont="1">
      <alignment shrinkToFit="0" vertical="bottom" wrapText="1"/>
    </xf>
    <xf borderId="0" fillId="3" fontId="13" numFmtId="0" xfId="0" applyAlignment="1" applyFont="1">
      <alignment horizontal="center" shrinkToFit="0" vertical="bottom" wrapText="0"/>
    </xf>
    <xf borderId="0" fillId="2" fontId="4" numFmtId="0" xfId="0" applyAlignment="1" applyFont="1">
      <alignment horizontal="left" shrinkToFit="0" vertical="bottom" wrapText="1"/>
    </xf>
    <xf borderId="0" fillId="3" fontId="4" numFmtId="0" xfId="0" applyAlignment="1" applyFont="1">
      <alignment horizontal="right" shrinkToFit="0" vertical="bottom" wrapText="0"/>
    </xf>
    <xf borderId="0" fillId="3" fontId="4" numFmtId="0" xfId="0" applyAlignment="1" applyFont="1">
      <alignment horizontal="left" readingOrder="0" shrinkToFit="0" vertical="bottom" wrapText="1"/>
    </xf>
    <xf borderId="0" fillId="3" fontId="4" numFmtId="0" xfId="0" applyAlignment="1" applyFont="1">
      <alignment shrinkToFit="0" vertical="bottom" wrapText="0"/>
    </xf>
    <xf borderId="0" fillId="8" fontId="8" numFmtId="0" xfId="0" applyAlignment="1" applyFill="1" applyFont="1">
      <alignment horizontal="left" shrinkToFit="0" vertical="bottom" wrapText="0"/>
    </xf>
    <xf borderId="0" fillId="8" fontId="8" numFmtId="0" xfId="0" applyAlignment="1" applyFont="1">
      <alignment shrinkToFit="0" vertical="bottom" wrapText="0"/>
    </xf>
    <xf borderId="0" fillId="8" fontId="4" numFmtId="0" xfId="0" applyAlignment="1" applyFont="1">
      <alignment shrinkToFit="0" vertical="bottom" wrapText="1"/>
    </xf>
    <xf borderId="0" fillId="3" fontId="8" numFmtId="0" xfId="0" applyAlignment="1" applyFont="1">
      <alignment horizontal="left" shrinkToFit="0" vertical="bottom" wrapText="0"/>
    </xf>
    <xf borderId="0" fillId="3" fontId="8" numFmtId="0" xfId="0" applyAlignment="1" applyFont="1">
      <alignment shrinkToFit="0" vertical="bottom" wrapText="0"/>
    </xf>
    <xf borderId="0" fillId="2" fontId="4" numFmtId="0" xfId="0" applyAlignment="1" applyFont="1">
      <alignment shrinkToFit="0" vertical="bottom" wrapText="0"/>
    </xf>
    <xf borderId="0" fillId="3" fontId="4" numFmtId="0" xfId="0" applyAlignment="1" applyFont="1">
      <alignment horizontal="right" shrinkToFit="0" vertical="bottom" wrapText="0"/>
    </xf>
    <xf borderId="0" fillId="3" fontId="4" numFmtId="0" xfId="0" applyAlignment="1" applyFont="1">
      <alignment horizontal="left" shrinkToFit="0" vertical="bottom" wrapText="1"/>
    </xf>
    <xf borderId="0" fillId="5" fontId="1" numFmtId="0" xfId="0" applyAlignment="1" applyFont="1">
      <alignment readingOrder="0" shrinkToFit="0" wrapText="0"/>
    </xf>
    <xf borderId="0" fillId="4" fontId="8" numFmtId="0" xfId="0" applyAlignment="1" applyFont="1">
      <alignment shrinkToFit="0" vertical="bottom" wrapText="1"/>
    </xf>
    <xf borderId="0" fillId="7" fontId="8" numFmtId="0" xfId="0" applyAlignment="1" applyFont="1">
      <alignment shrinkToFit="0" vertical="bottom" wrapText="0"/>
    </xf>
    <xf borderId="0" fillId="3" fontId="4" numFmtId="0" xfId="0" applyAlignment="1" applyFont="1">
      <alignment shrinkToFit="0" vertical="bottom" wrapText="1"/>
    </xf>
    <xf borderId="0" fillId="4" fontId="8" numFmtId="0" xfId="0" applyAlignment="1" applyFont="1">
      <alignment shrinkToFit="0" vertical="bottom" wrapText="1"/>
    </xf>
    <xf borderId="0" fillId="4" fontId="8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1"/>
    </xf>
    <xf borderId="0" fillId="0" fontId="14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right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4" fontId="8" numFmtId="0" xfId="0" applyAlignment="1" applyFont="1">
      <alignment shrinkToFit="0" vertical="center" wrapText="1"/>
    </xf>
    <xf borderId="0" fillId="4" fontId="8" numFmtId="0" xfId="0" applyAlignment="1" applyFont="1">
      <alignment horizontal="center" shrinkToFit="0" vertical="center" wrapText="1"/>
    </xf>
    <xf borderId="0" fillId="4" fontId="8" numFmtId="4" xfId="0" applyAlignment="1" applyFont="1" applyNumberFormat="1">
      <alignment shrinkToFit="0" vertical="center" wrapText="1"/>
    </xf>
    <xf borderId="0" fillId="4" fontId="4" numFmtId="4" xfId="0" applyAlignment="1" applyFont="1" applyNumberFormat="1">
      <alignment shrinkToFit="0" vertical="center" wrapText="1"/>
    </xf>
    <xf borderId="0" fillId="4" fontId="4" numFmtId="0" xfId="0" applyAlignment="1" applyFont="1">
      <alignment shrinkToFit="0" vertical="center" wrapText="1"/>
    </xf>
    <xf borderId="0" fillId="4" fontId="1" numFmtId="0" xfId="0" applyAlignment="1" applyFont="1">
      <alignment shrinkToFit="0" vertical="center" wrapText="1"/>
    </xf>
    <xf borderId="0" fillId="3" fontId="8" numFmtId="0" xfId="0" applyAlignment="1" applyFont="1">
      <alignment shrinkToFit="0" vertical="center" wrapText="1"/>
    </xf>
    <xf borderId="0" fillId="5" fontId="4" numFmtId="0" xfId="0" applyAlignment="1" applyFont="1">
      <alignment horizontal="center" readingOrder="0" shrinkToFit="0" vertical="center" wrapText="1"/>
    </xf>
    <xf borderId="0" fillId="3" fontId="4" numFmtId="4" xfId="0" applyAlignment="1" applyFont="1" applyNumberFormat="1">
      <alignment shrinkToFit="0" vertical="center" wrapText="1"/>
    </xf>
    <xf borderId="0" fillId="8" fontId="15" numFmtId="4" xfId="0" applyAlignment="1" applyFont="1" applyNumberFormat="1">
      <alignment horizontal="center" shrinkToFit="0" vertical="center" wrapText="1"/>
    </xf>
    <xf borderId="0" fillId="8" fontId="15" numFmtId="0" xfId="0" applyAlignment="1" applyFont="1">
      <alignment horizontal="center" shrinkToFit="0" vertical="center" wrapText="1"/>
    </xf>
    <xf borderId="0" fillId="3" fontId="2" numFmtId="0" xfId="0" applyAlignment="1" applyFont="1">
      <alignment shrinkToFit="0" vertical="center" wrapText="1"/>
    </xf>
    <xf borderId="0" fillId="2" fontId="8" numFmtId="0" xfId="0" applyAlignment="1" applyFont="1">
      <alignment shrinkToFit="0" vertical="center" wrapText="1"/>
    </xf>
    <xf borderId="0" fillId="2" fontId="4" numFmtId="4" xfId="0" applyAlignment="1" applyFont="1" applyNumberFormat="1">
      <alignment shrinkToFit="0" vertical="center" wrapText="1"/>
    </xf>
    <xf borderId="0" fillId="2" fontId="2" numFmtId="0" xfId="0" applyAlignment="1" applyFont="1">
      <alignment shrinkToFit="0" vertical="center" wrapText="1"/>
    </xf>
    <xf borderId="0" fillId="5" fontId="4" numFmtId="0" xfId="0" applyAlignment="1" applyFont="1">
      <alignment horizontal="center" shrinkToFit="0" vertical="center" wrapText="1"/>
    </xf>
    <xf borderId="0" fillId="5" fontId="4" numFmtId="0" xfId="0" applyAlignment="1" applyFont="1">
      <alignment horizontal="center" shrinkToFit="0" vertical="center" wrapText="1"/>
    </xf>
    <xf borderId="0" fillId="2" fontId="4" numFmtId="0" xfId="0" applyAlignment="1" applyFont="1">
      <alignment shrinkToFit="0" vertical="center" wrapText="1"/>
    </xf>
    <xf borderId="0" fillId="3" fontId="4" numFmtId="0" xfId="0" applyAlignment="1" applyFont="1">
      <alignment shrinkToFit="0" vertical="center" wrapText="1"/>
    </xf>
    <xf borderId="0" fillId="7" fontId="4" numFmtId="0" xfId="0" applyAlignment="1" applyFont="1">
      <alignment horizontal="center" shrinkToFit="0" vertical="center" wrapText="1"/>
    </xf>
    <xf borderId="0" fillId="7" fontId="4" numFmtId="0" xfId="0" applyAlignment="1" applyFont="1">
      <alignment readingOrder="0" shrinkToFit="0" vertical="center" wrapText="1"/>
    </xf>
    <xf borderId="0" fillId="3" fontId="1" numFmtId="0" xfId="0" applyAlignment="1" applyFont="1">
      <alignment shrinkToFit="0" wrapText="0"/>
    </xf>
    <xf borderId="0" fillId="3" fontId="1" numFmtId="0" xfId="0" applyAlignment="1" applyFont="1">
      <alignment shrinkToFit="0" wrapText="0"/>
    </xf>
    <xf borderId="0" fillId="2" fontId="2" numFmtId="0" xfId="0" applyAlignment="1" applyFont="1">
      <alignment shrinkToFit="0" wrapText="0"/>
    </xf>
    <xf borderId="0" fillId="3" fontId="2" numFmtId="0" xfId="0" applyAlignment="1" applyFont="1">
      <alignment shrinkToFit="0" wrapText="0"/>
    </xf>
    <xf borderId="0" fillId="3" fontId="2" numFmtId="0" xfId="0" applyAlignment="1" applyFont="1">
      <alignment shrinkToFit="0" wrapText="0"/>
    </xf>
    <xf borderId="0" fillId="2" fontId="2" numFmtId="0" xfId="0" applyAlignment="1" applyFont="1">
      <alignment shrinkToFit="0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3">
    <tableStyle count="3" pivot="0" name="Project Data-style">
      <tableStyleElement dxfId="1" type="headerRow"/>
      <tableStyleElement dxfId="2" type="firstRowStripe"/>
      <tableStyleElement dxfId="3" type="secondRowStripe"/>
    </tableStyle>
    <tableStyle count="3" pivot="0" name="Project Team-style">
      <tableStyleElement dxfId="1" type="headerRow"/>
      <tableStyleElement dxfId="2" type="firstRowStripe"/>
      <tableStyleElement dxfId="3" type="secondRowStripe"/>
    </tableStyle>
    <tableStyle count="3" pivot="0" name="Role Assignments-style">
      <tableStyleElement dxfId="1" type="headerRow"/>
      <tableStyleElement dxfId="2" type="firstRowStripe"/>
      <tableStyleElement dxfId="3" type="secondRowStripe"/>
    </tableStyle>
    <tableStyle count="3" pivot="0" name="Team Contract-style">
      <tableStyleElement dxfId="1" type="headerRow"/>
      <tableStyleElement dxfId="2" type="firstRowStripe"/>
      <tableStyleElement dxfId="3" type="secondRowStripe"/>
    </tableStyle>
    <tableStyle count="3" pivot="0" name="Product Glossary-style">
      <tableStyleElement dxfId="1" type="headerRow"/>
      <tableStyleElement dxfId="2" type="firstRowStripe"/>
      <tableStyleElement dxfId="3" type="secondRowStripe"/>
    </tableStyle>
    <tableStyle count="3" pivot="0" name="Sprint Goals-style">
      <tableStyleElement dxfId="1" type="headerRow"/>
      <tableStyleElement dxfId="2" type="firstRowStripe"/>
      <tableStyleElement dxfId="3" type="secondRowStripe"/>
    </tableStyle>
    <tableStyle count="3" pivot="0" name="Velocity Tracking-style">
      <tableStyleElement dxfId="1" type="headerRow"/>
      <tableStyleElement dxfId="2" type="firstRowStripe"/>
      <tableStyleElement dxfId="3" type="secondRowStripe"/>
    </tableStyle>
    <tableStyle count="3" pivot="0" name="Velocity Chart-style">
      <tableStyleElement dxfId="1" type="headerRow"/>
      <tableStyleElement dxfId="2" type="firstRowStripe"/>
      <tableStyleElement dxfId="3" type="secondRowStripe"/>
    </tableStyle>
    <tableStyle count="3" pivot="0" name="Mid-Project Release plan-style">
      <tableStyleElement dxfId="1" type="headerRow"/>
      <tableStyleElement dxfId="2" type="firstRowStripe"/>
      <tableStyleElement dxfId="3" type="secondRowStripe"/>
    </tableStyle>
    <tableStyle count="3" pivot="0" name="Final Project Release plan-style">
      <tableStyleElement dxfId="1" type="headerRow"/>
      <tableStyleElement dxfId="2" type="firstRowStripe"/>
      <tableStyleElement dxfId="3" type="secondRowStripe"/>
    </tableStyle>
    <tableStyle count="3" pivot="0" name="Definition of Done-style">
      <tableStyleElement dxfId="1" type="headerRow"/>
      <tableStyleElement dxfId="2" type="firstRowStripe"/>
      <tableStyleElement dxfId="3" type="secondRowStripe"/>
    </tableStyle>
    <tableStyle count="3" pivot="0" name="Documentation-style">
      <tableStyleElement dxfId="1" type="headerRow"/>
      <tableStyleElement dxfId="2" type="firstRowStripe"/>
      <tableStyleElement dxfId="3" type="secondRowStripe"/>
    </tableStyle>
    <tableStyle count="3" pivot="0" name="Bill of Material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20" displayName="Table_1" name="Table_1" id="1">
  <tableColumns count="2">
    <tableColumn name="Project Name" id="1"/>
    <tableColumn name="..." id="2"/>
  </tableColumns>
  <tableStyleInfo name="Project Data-style" showColumnStripes="0" showFirstColumn="1" showLastColumn="1" showRowStripes="1"/>
</table>
</file>

<file path=xl/tables/table2.xml><?xml version="1.0" encoding="utf-8"?>
<table xmlns="http://schemas.openxmlformats.org/spreadsheetml/2006/main" ref="A1:D20" displayName="Table_2" name="Table_2" id="2">
  <tableColumns count="4">
    <tableColumn name="Last Name" id="1"/>
    <tableColumn name="First Name" id="2"/>
    <tableColumn name="GitHub User Name" id="3"/>
    <tableColumn name="Email Address" id="4"/>
  </tableColumns>
  <tableStyleInfo name="Project Team-style" showColumnStripes="0" showFirstColumn="1" showLastColumn="1" showRowStripes="1"/>
</table>
</file>

<file path=xl/tables/table3.xml><?xml version="1.0" encoding="utf-8"?>
<table xmlns="http://schemas.openxmlformats.org/spreadsheetml/2006/main" ref="A2:H21" displayName="Table_3" name="Table_3" id="3">
  <tableColumns count="8">
    <tableColumn name="#" id="1"/>
    <tableColumn name="Meeting Day" id="2"/>
    <tableColumn name="Review" id="3"/>
    <tableColumn name="Planning" id="4"/>
    <tableColumn name="Software Developer" id="5"/>
    <tableColumn name="Release Manager" id="6"/>
    <tableColumn name="Scrum Master" id="7"/>
    <tableColumn name="Comment" id="8"/>
  </tableColumns>
  <tableStyleInfo name="Role Assignments-style" showColumnStripes="0" showFirstColumn="1" showLastColumn="1" showRowStripes="1"/>
</table>
</file>

<file path=xl/tables/table4.xml><?xml version="1.0" encoding="utf-8"?>
<table xmlns="http://schemas.openxmlformats.org/spreadsheetml/2006/main" ref="A1:B36" displayName="Table_4" name="Table_4" id="4">
  <tableColumns count="2">
    <tableColumn name="Goals" id="1"/>
    <tableColumn name="achieve the project goal" id="2"/>
  </tableColumns>
  <tableStyleInfo name="Team Contract-style" showColumnStripes="0" showFirstColumn="1" showLastColumn="1" showRowStripes="1"/>
</table>
</file>

<file path=xl/tables/table5.xml><?xml version="1.0" encoding="utf-8"?>
<table xmlns="http://schemas.openxmlformats.org/spreadsheetml/2006/main" ref="A1:B20" displayName="Table_5" name="Table_5" id="5">
  <tableColumns count="2">
    <tableColumn name="Term" id="1"/>
    <tableColumn name="Definition" id="2"/>
  </tableColumns>
  <tableStyleInfo name="Product Glossary-style" showColumnStripes="0" showFirstColumn="1" showLastColumn="1" showRowStripes="1"/>
</table>
</file>

<file path=xl/tables/table6.xml><?xml version="1.0" encoding="utf-8"?>
<table xmlns="http://schemas.openxmlformats.org/spreadsheetml/2006/main" ref="A1:B20" displayName="Table_6" name="Table_6" id="6">
  <tableColumns count="2">
    <tableColumn name="Sprint #" id="1"/>
    <tableColumn name="Sprint goal" id="2"/>
  </tableColumns>
  <tableStyleInfo name="Sprint Goals-style" showColumnStripes="0" showFirstColumn="1" showLastColumn="1" showRowStripes="1"/>
</table>
</file>

<file path=xl/tables/table7.xml><?xml version="1.0" encoding="utf-8"?>
<table xmlns="http://schemas.openxmlformats.org/spreadsheetml/2006/main" ref="A1:B20" displayName="Table_7" name="Table_7" id="7">
  <tableColumns count="2">
    <tableColumn name="Sprint #" id="1"/>
    <tableColumn name="Story Points Realized" id="2"/>
  </tableColumns>
  <tableStyleInfo name="Velocity Tracking-style" showColumnStripes="0" showFirstColumn="1" showLastColumn="1" showRowStripes="1"/>
</table>
</file>

<file path=xl/tables/table8.xml><?xml version="1.0" encoding="utf-8"?>
<table xmlns="http://schemas.openxmlformats.org/spreadsheetml/2006/main" ref="A1:B20" displayName="Table_8" name="Table_8" id="8">
  <tableColumns count="2">
    <tableColumn name="Sprint #" id="1"/>
    <tableColumn name="Story Points Realized" id="2"/>
  </tableColumns>
  <tableStyleInfo name="Velocity Chart-style" showColumnStripes="0" showFirstColumn="1" showLastColumn="1" showRowStripes="1"/>
</table>
</file>

<file path=xl/tables/table9.xml><?xml version="1.0" encoding="utf-8"?>
<table xmlns="http://schemas.openxmlformats.org/spreadsheetml/2006/main" ref="A1:G34" displayName="Table_9" name="Table_9" id="9">
  <tableColumns count="7">
    <tableColumn name="Sprint" id="1"/>
    <tableColumn name="Goal" id="2"/>
    <tableColumn name="Feature Name" id="3"/>
    <tableColumn name="Est. size" id="4"/>
    <tableColumn name="Est. remaining" id="5"/>
    <tableColumn name="Real size" id="6"/>
    <tableColumn name="Real remaining" id="7"/>
  </tableColumns>
  <tableStyleInfo name="Mid-Project Release plan-style" showColumnStripes="0" showFirstColumn="1" showLastColumn="1" showRowStripes="1"/>
</table>
</file>

<file path=xl/tables/table10.xml><?xml version="1.0" encoding="utf-8"?>
<table xmlns="http://schemas.openxmlformats.org/spreadsheetml/2006/main" ref="A1:G34" displayName="Table_10" name="Table_10" id="10">
  <tableColumns count="7">
    <tableColumn name="Sprint" id="1"/>
    <tableColumn name="Goal" id="2"/>
    <tableColumn name="Feature Name" id="3"/>
    <tableColumn name="Est. size" id="4"/>
    <tableColumn name="Est. remaining" id="5"/>
    <tableColumn name="Real size" id="6"/>
    <tableColumn name="Real remaining" id="7"/>
  </tableColumns>
  <tableStyleInfo name="Final Project Release plan-style" showColumnStripes="0" showFirstColumn="1" showLastColumn="1" showRowStripes="1"/>
</table>
</file>

<file path=xl/tables/table11.xml><?xml version="1.0" encoding="utf-8"?>
<table xmlns="http://schemas.openxmlformats.org/spreadsheetml/2006/main" ref="A1:D20" displayName="Table_11" name="Table_11" id="11">
  <tableColumns count="4">
    <tableColumn name="#" id="1"/>
    <tableColumn name="Feature Definition of Done" id="2"/>
    <tableColumn name="Sprint Release Definition of Done" id="3"/>
    <tableColumn name="Project Release Definition of Done" id="4"/>
  </tableColumns>
  <tableStyleInfo name="Definition of Done-style" showColumnStripes="0" showFirstColumn="1" showLastColumn="1" showRowStripes="1"/>
</table>
</file>

<file path=xl/tables/table12.xml><?xml version="1.0" encoding="utf-8"?>
<table xmlns="http://schemas.openxmlformats.org/spreadsheetml/2006/main" ref="A1:B20" displayName="Table_12" name="Table_12" id="12">
  <tableColumns count="2">
    <tableColumn name="Type" id="1"/>
    <tableColumn name="Link / reference" id="2"/>
  </tableColumns>
  <tableStyleInfo name="Documentation-style" showColumnStripes="0" showFirstColumn="1" showLastColumn="1" showRowStripes="1"/>
</table>
</file>

<file path=xl/tables/table13.xml><?xml version="1.0" encoding="utf-8"?>
<table xmlns="http://schemas.openxmlformats.org/spreadsheetml/2006/main" ref="A1:F88" displayName="Table_13" name="Table_13" id="13">
  <tableColumns count="6">
    <tableColumn name="#" id="1"/>
    <tableColumn name="Context" id="2"/>
    <tableColumn name="Name" id="3"/>
    <tableColumn name="Version" id="4"/>
    <tableColumn name="License" id="5"/>
    <tableColumn name="Comment" id="6"/>
  </tableColumns>
  <tableStyleInfo name="Bill of Material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au.zoom-x.de/j/3913240515?pwd=TWo2NkZmaVZFWDVKckNKVzQyRG4zdz09" TargetMode="External"/><Relationship Id="rId2" Type="http://schemas.openxmlformats.org/officeDocument/2006/relationships/hyperlink" Target="https://github.com/amosproj/amos2025ws01-opensearch-load-tester" TargetMode="External"/><Relationship Id="rId3" Type="http://schemas.openxmlformats.org/officeDocument/2006/relationships/hyperlink" Target="https://github.com/orgs/amosproj/projects/89/views/2" TargetMode="External"/><Relationship Id="rId4" Type="http://schemas.openxmlformats.org/officeDocument/2006/relationships/hyperlink" Target="https://github.com/orgs/amosproj/projects/93/views/1" TargetMode="External"/><Relationship Id="rId9" Type="http://schemas.openxmlformats.org/officeDocument/2006/relationships/table" Target="../tables/table1.xml"/><Relationship Id="rId5" Type="http://schemas.openxmlformats.org/officeDocument/2006/relationships/hyperlink" Target="https://www.shirtinator.de/en/s/nasAq-u7RjO3FQ4BPPUSLw" TargetMode="External"/><Relationship Id="rId6" Type="http://schemas.openxmlformats.org/officeDocument/2006/relationships/hyperlink" Target="https://www.shirtinator.de/en/s/0VuwTYIwRviJfsV7ERwamA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lea.buchner@fau.de" TargetMode="External"/><Relationship Id="rId2" Type="http://schemas.openxmlformats.org/officeDocument/2006/relationships/hyperlink" Target="mailto:carlostrachwitz@gmail.com" TargetMode="External"/><Relationship Id="rId3" Type="http://schemas.openxmlformats.org/officeDocument/2006/relationships/hyperlink" Target="mailto:sara.belz@fau.de" TargetMode="External"/><Relationship Id="rId4" Type="http://schemas.openxmlformats.org/officeDocument/2006/relationships/hyperlink" Target="mailto:eugen.becker@fau.de" TargetMode="External"/><Relationship Id="rId5" Type="http://schemas.openxmlformats.org/officeDocument/2006/relationships/hyperlink" Target="mailto:sebastian.knecht@fau.de" TargetMode="External"/><Relationship Id="rId6" Type="http://schemas.openxmlformats.org/officeDocument/2006/relationships/drawing" Target="../drawings/drawing2.xml"/><Relationship Id="rId8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8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9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0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1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2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3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25.13"/>
    <col customWidth="1" min="2" max="2" width="100.13"/>
  </cols>
  <sheetData>
    <row r="1">
      <c r="A1" s="1" t="s">
        <v>0</v>
      </c>
      <c r="B1" s="2" t="s">
        <v>1</v>
      </c>
    </row>
    <row r="2">
      <c r="A2" s="1"/>
      <c r="B2" s="2"/>
    </row>
    <row r="3">
      <c r="A3" s="3" t="s">
        <v>2</v>
      </c>
      <c r="B3" s="4" t="s">
        <v>3</v>
      </c>
    </row>
    <row r="4">
      <c r="A4" s="1"/>
      <c r="B4" s="5"/>
    </row>
    <row r="5">
      <c r="A5" s="3" t="s">
        <v>4</v>
      </c>
      <c r="B5" s="6" t="s">
        <v>5</v>
      </c>
    </row>
    <row r="6">
      <c r="A6" s="3" t="s">
        <v>6</v>
      </c>
      <c r="B6" s="7" t="s">
        <v>5</v>
      </c>
    </row>
    <row r="7">
      <c r="A7" s="1"/>
      <c r="B7" s="8"/>
    </row>
    <row r="8">
      <c r="A8" s="3" t="s">
        <v>7</v>
      </c>
      <c r="B8" s="9" t="s">
        <v>8</v>
      </c>
    </row>
    <row r="9">
      <c r="A9" s="3" t="s">
        <v>9</v>
      </c>
      <c r="B9" s="4" t="s">
        <v>10</v>
      </c>
    </row>
    <row r="10">
      <c r="A10" s="3" t="s">
        <v>11</v>
      </c>
      <c r="B10" s="10" t="s">
        <v>12</v>
      </c>
    </row>
    <row r="11">
      <c r="A11" s="1"/>
      <c r="B11" s="2"/>
    </row>
    <row r="12">
      <c r="A12" s="3" t="s">
        <v>13</v>
      </c>
      <c r="B12" s="11" t="s">
        <v>14</v>
      </c>
    </row>
    <row r="13">
      <c r="A13" s="3" t="s">
        <v>15</v>
      </c>
      <c r="B13" s="11" t="s">
        <v>16</v>
      </c>
    </row>
    <row r="14">
      <c r="A14" s="1"/>
      <c r="B14" s="2"/>
    </row>
    <row r="15">
      <c r="A15" s="1" t="s">
        <v>17</v>
      </c>
      <c r="B15" s="2" t="s">
        <v>1</v>
      </c>
    </row>
    <row r="16">
      <c r="A16" s="1"/>
      <c r="B16" s="2"/>
    </row>
    <row r="17">
      <c r="A17" s="3" t="s">
        <v>18</v>
      </c>
      <c r="B17" s="12" t="s">
        <v>19</v>
      </c>
    </row>
    <row r="18">
      <c r="A18" s="1"/>
      <c r="B18" s="2"/>
    </row>
    <row r="19">
      <c r="A19" s="1"/>
      <c r="B19" s="2"/>
    </row>
    <row r="20">
      <c r="A20" s="1"/>
      <c r="B20" s="2"/>
    </row>
  </sheetData>
  <hyperlinks>
    <hyperlink r:id="rId1" ref="B3"/>
    <hyperlink r:id="rId2" ref="B8"/>
    <hyperlink r:id="rId3" ref="B9"/>
    <hyperlink r:id="rId4" ref="B10"/>
    <hyperlink r:id="rId5" ref="B12"/>
    <hyperlink r:id="rId6" ref="B13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7"/>
  <tableParts count="1"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4" width="31.38"/>
  </cols>
  <sheetData>
    <row r="1">
      <c r="A1" s="13" t="s">
        <v>20</v>
      </c>
      <c r="B1" s="13" t="s">
        <v>21</v>
      </c>
      <c r="C1" s="13" t="s">
        <v>22</v>
      </c>
      <c r="D1" s="13" t="s">
        <v>23</v>
      </c>
    </row>
    <row r="2">
      <c r="A2" s="14" t="s">
        <v>24</v>
      </c>
      <c r="B2" s="14" t="s">
        <v>25</v>
      </c>
      <c r="C2" s="14" t="s">
        <v>26</v>
      </c>
      <c r="D2" s="14" t="s">
        <v>27</v>
      </c>
    </row>
    <row r="3">
      <c r="A3" s="15" t="s">
        <v>28</v>
      </c>
      <c r="B3" s="16" t="s">
        <v>29</v>
      </c>
      <c r="C3" s="15" t="s">
        <v>30</v>
      </c>
      <c r="D3" s="4" t="s">
        <v>31</v>
      </c>
    </row>
    <row r="4">
      <c r="A4" s="5" t="s">
        <v>32</v>
      </c>
      <c r="B4" s="5" t="s">
        <v>33</v>
      </c>
      <c r="C4" s="5" t="s">
        <v>34</v>
      </c>
      <c r="D4" s="5" t="s">
        <v>35</v>
      </c>
    </row>
    <row r="5">
      <c r="A5" s="8" t="s">
        <v>36</v>
      </c>
      <c r="B5" s="8" t="s">
        <v>37</v>
      </c>
      <c r="C5" s="8" t="s">
        <v>38</v>
      </c>
      <c r="D5" s="17" t="s">
        <v>39</v>
      </c>
    </row>
    <row r="6">
      <c r="A6" s="5" t="s">
        <v>40</v>
      </c>
      <c r="B6" s="18" t="s">
        <v>41</v>
      </c>
      <c r="C6" s="5" t="s">
        <v>42</v>
      </c>
      <c r="D6" s="9" t="s">
        <v>43</v>
      </c>
    </row>
    <row r="7">
      <c r="A7" s="8" t="s">
        <v>44</v>
      </c>
      <c r="B7" s="15" t="s">
        <v>45</v>
      </c>
      <c r="C7" s="8" t="s">
        <v>46</v>
      </c>
      <c r="D7" s="17" t="s">
        <v>47</v>
      </c>
    </row>
    <row r="8">
      <c r="A8" s="19" t="s">
        <v>48</v>
      </c>
      <c r="B8" s="19" t="s">
        <v>49</v>
      </c>
      <c r="C8" s="19" t="s">
        <v>50</v>
      </c>
      <c r="D8" s="19" t="s">
        <v>51</v>
      </c>
    </row>
    <row r="9">
      <c r="A9" s="20" t="s">
        <v>52</v>
      </c>
      <c r="B9" s="21" t="s">
        <v>53</v>
      </c>
      <c r="C9" s="8" t="s">
        <v>54</v>
      </c>
      <c r="D9" s="22" t="s">
        <v>55</v>
      </c>
    </row>
    <row r="10">
      <c r="A10" s="5"/>
      <c r="B10" s="18"/>
      <c r="C10" s="5"/>
      <c r="D10" s="23"/>
    </row>
    <row r="11">
      <c r="A11" s="24"/>
      <c r="B11" s="25"/>
      <c r="C11" s="24"/>
      <c r="D11" s="24"/>
    </row>
    <row r="12">
      <c r="A12" s="24"/>
      <c r="B12" s="24"/>
      <c r="C12" s="24"/>
      <c r="D12" s="24"/>
    </row>
    <row r="13">
      <c r="A13" s="26"/>
      <c r="B13" s="27"/>
      <c r="C13" s="27"/>
      <c r="D13" s="27"/>
    </row>
    <row r="14">
      <c r="A14" s="24"/>
      <c r="B14" s="25"/>
      <c r="C14" s="24"/>
      <c r="D14" s="24"/>
    </row>
    <row r="15">
      <c r="A15" s="24"/>
      <c r="B15" s="25"/>
      <c r="C15" s="24"/>
      <c r="D15" s="24"/>
    </row>
    <row r="16">
      <c r="A16" s="24"/>
      <c r="B16" s="24"/>
      <c r="C16" s="24"/>
      <c r="D16" s="24"/>
    </row>
    <row r="17">
      <c r="A17" s="24"/>
      <c r="B17" s="24"/>
      <c r="C17" s="24"/>
      <c r="D17" s="24"/>
    </row>
    <row r="18">
      <c r="A18" s="24"/>
      <c r="B18" s="24"/>
      <c r="C18" s="24"/>
      <c r="D18" s="24"/>
    </row>
    <row r="19">
      <c r="A19" s="24"/>
      <c r="B19" s="24"/>
      <c r="C19" s="24"/>
      <c r="D19" s="24"/>
    </row>
    <row r="20">
      <c r="A20" s="24"/>
      <c r="B20" s="24"/>
      <c r="C20" s="24"/>
      <c r="D20" s="24"/>
    </row>
  </sheetData>
  <hyperlinks>
    <hyperlink r:id="rId1" ref="D3"/>
    <hyperlink r:id="rId2" ref="D5"/>
    <hyperlink r:id="rId3" ref="D6"/>
    <hyperlink r:id="rId4" ref="D7"/>
    <hyperlink r:id="rId5" ref="D9"/>
  </hyperlinks>
  <drawing r:id="rId6"/>
  <tableParts count="1"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6.38"/>
    <col customWidth="1" min="2" max="2" width="12.63"/>
    <col customWidth="1" min="3" max="7" width="18.88"/>
    <col customWidth="1" min="8" max="8" width="50.13"/>
  </cols>
  <sheetData>
    <row r="1">
      <c r="A1" s="28"/>
      <c r="B1" s="28"/>
      <c r="C1" s="29" t="s">
        <v>56</v>
      </c>
      <c r="E1" s="28"/>
      <c r="F1" s="30"/>
      <c r="G1" s="30"/>
      <c r="H1" s="28"/>
    </row>
    <row r="2">
      <c r="A2" s="31" t="s">
        <v>57</v>
      </c>
      <c r="B2" s="31" t="s">
        <v>58</v>
      </c>
      <c r="C2" s="31" t="s">
        <v>59</v>
      </c>
      <c r="D2" s="31" t="s">
        <v>60</v>
      </c>
      <c r="E2" s="31" t="s">
        <v>61</v>
      </c>
      <c r="F2" s="32" t="s">
        <v>62</v>
      </c>
      <c r="G2" s="32" t="s">
        <v>63</v>
      </c>
      <c r="H2" s="31" t="s">
        <v>64</v>
      </c>
    </row>
    <row r="3">
      <c r="A3" s="33">
        <v>1.0</v>
      </c>
      <c r="B3" s="34">
        <v>45945.0</v>
      </c>
      <c r="C3" s="14" t="s">
        <v>65</v>
      </c>
      <c r="D3" s="14" t="s">
        <v>65</v>
      </c>
      <c r="E3" s="14" t="s">
        <v>66</v>
      </c>
      <c r="F3" s="14" t="s">
        <v>67</v>
      </c>
      <c r="G3" s="14" t="s">
        <v>68</v>
      </c>
      <c r="H3" s="35"/>
    </row>
    <row r="4">
      <c r="A4" s="36">
        <v>2.0</v>
      </c>
      <c r="B4" s="37">
        <f t="shared" ref="B4:B12" si="1">B3+7</f>
        <v>45952</v>
      </c>
      <c r="C4" s="6" t="s">
        <v>69</v>
      </c>
      <c r="D4" s="6" t="s">
        <v>70</v>
      </c>
      <c r="E4" s="21" t="s">
        <v>66</v>
      </c>
      <c r="F4" s="6" t="s">
        <v>67</v>
      </c>
      <c r="G4" s="21" t="s">
        <v>68</v>
      </c>
      <c r="H4" s="38"/>
    </row>
    <row r="5">
      <c r="A5" s="33">
        <v>3.0</v>
      </c>
      <c r="B5" s="39">
        <f t="shared" si="1"/>
        <v>45959</v>
      </c>
      <c r="C5" s="6" t="s">
        <v>70</v>
      </c>
      <c r="D5" s="6" t="s">
        <v>69</v>
      </c>
      <c r="E5" s="14" t="s">
        <v>66</v>
      </c>
      <c r="F5" s="7" t="s">
        <v>71</v>
      </c>
      <c r="G5" s="14" t="s">
        <v>68</v>
      </c>
      <c r="H5" s="35"/>
    </row>
    <row r="6">
      <c r="A6" s="36">
        <v>4.0</v>
      </c>
      <c r="B6" s="37">
        <f t="shared" si="1"/>
        <v>45966</v>
      </c>
      <c r="C6" s="6" t="s">
        <v>69</v>
      </c>
      <c r="D6" s="6" t="s">
        <v>70</v>
      </c>
      <c r="E6" s="21" t="s">
        <v>66</v>
      </c>
      <c r="F6" s="7" t="s">
        <v>71</v>
      </c>
      <c r="G6" s="21" t="s">
        <v>68</v>
      </c>
      <c r="H6" s="40" t="s">
        <v>72</v>
      </c>
    </row>
    <row r="7">
      <c r="A7" s="33">
        <v>5.0</v>
      </c>
      <c r="B7" s="39">
        <f t="shared" si="1"/>
        <v>45973</v>
      </c>
      <c r="C7" s="6" t="s">
        <v>70</v>
      </c>
      <c r="D7" s="6" t="s">
        <v>69</v>
      </c>
      <c r="E7" s="14" t="s">
        <v>66</v>
      </c>
      <c r="F7" s="7" t="s">
        <v>73</v>
      </c>
      <c r="G7" s="14" t="s">
        <v>68</v>
      </c>
      <c r="H7" s="35"/>
    </row>
    <row r="8">
      <c r="A8" s="36">
        <v>6.0</v>
      </c>
      <c r="B8" s="37">
        <f t="shared" si="1"/>
        <v>45980</v>
      </c>
      <c r="C8" s="6" t="s">
        <v>69</v>
      </c>
      <c r="D8" s="6" t="s">
        <v>70</v>
      </c>
      <c r="E8" s="21" t="s">
        <v>66</v>
      </c>
      <c r="F8" s="6" t="s">
        <v>74</v>
      </c>
      <c r="G8" s="21" t="s">
        <v>68</v>
      </c>
      <c r="H8" s="38"/>
    </row>
    <row r="9">
      <c r="A9" s="33">
        <v>7.0</v>
      </c>
      <c r="B9" s="39">
        <f t="shared" si="1"/>
        <v>45987</v>
      </c>
      <c r="C9" s="6" t="s">
        <v>70</v>
      </c>
      <c r="D9" s="6" t="s">
        <v>69</v>
      </c>
      <c r="E9" s="41" t="s">
        <v>66</v>
      </c>
      <c r="F9" s="7" t="s">
        <v>75</v>
      </c>
      <c r="G9" s="14" t="s">
        <v>68</v>
      </c>
      <c r="H9" s="14" t="s">
        <v>76</v>
      </c>
    </row>
    <row r="10">
      <c r="A10" s="36">
        <v>8.0</v>
      </c>
      <c r="B10" s="37">
        <f t="shared" si="1"/>
        <v>45994</v>
      </c>
      <c r="C10" s="6" t="s">
        <v>69</v>
      </c>
      <c r="D10" s="6" t="s">
        <v>70</v>
      </c>
      <c r="E10" s="20" t="s">
        <v>66</v>
      </c>
      <c r="F10" s="6" t="s">
        <v>77</v>
      </c>
      <c r="G10" s="21" t="s">
        <v>68</v>
      </c>
      <c r="H10" s="38"/>
    </row>
    <row r="11">
      <c r="A11" s="33">
        <v>9.0</v>
      </c>
      <c r="B11" s="39">
        <f t="shared" si="1"/>
        <v>46001</v>
      </c>
      <c r="C11" s="6" t="s">
        <v>70</v>
      </c>
      <c r="D11" s="6" t="s">
        <v>69</v>
      </c>
      <c r="E11" s="41" t="s">
        <v>66</v>
      </c>
      <c r="F11" s="6" t="s">
        <v>77</v>
      </c>
      <c r="G11" s="14" t="s">
        <v>68</v>
      </c>
      <c r="H11" s="35"/>
    </row>
    <row r="12">
      <c r="A12" s="36">
        <v>10.0</v>
      </c>
      <c r="B12" s="37">
        <f t="shared" si="1"/>
        <v>46008</v>
      </c>
      <c r="C12" s="6" t="s">
        <v>69</v>
      </c>
      <c r="D12" s="6" t="s">
        <v>70</v>
      </c>
      <c r="E12" s="20" t="s">
        <v>66</v>
      </c>
      <c r="F12" s="7" t="s">
        <v>73</v>
      </c>
      <c r="G12" s="21" t="s">
        <v>68</v>
      </c>
      <c r="H12" s="6" t="s">
        <v>78</v>
      </c>
    </row>
    <row r="13">
      <c r="A13" s="33">
        <v>11.0</v>
      </c>
      <c r="B13" s="39">
        <v>46029.0</v>
      </c>
      <c r="C13" s="6" t="s">
        <v>70</v>
      </c>
      <c r="D13" s="6" t="s">
        <v>69</v>
      </c>
      <c r="E13" s="41" t="s">
        <v>66</v>
      </c>
      <c r="F13" s="6" t="s">
        <v>74</v>
      </c>
      <c r="G13" s="14" t="s">
        <v>68</v>
      </c>
      <c r="H13" s="7" t="s">
        <v>79</v>
      </c>
    </row>
    <row r="14">
      <c r="A14" s="36">
        <v>12.0</v>
      </c>
      <c r="B14" s="37">
        <f t="shared" ref="B14:B17" si="2">B13+7</f>
        <v>46036</v>
      </c>
      <c r="C14" s="6" t="s">
        <v>69</v>
      </c>
      <c r="D14" s="6" t="s">
        <v>70</v>
      </c>
      <c r="E14" s="20" t="s">
        <v>66</v>
      </c>
      <c r="F14" s="7" t="s">
        <v>75</v>
      </c>
      <c r="G14" s="21" t="s">
        <v>68</v>
      </c>
      <c r="H14" s="38"/>
    </row>
    <row r="15">
      <c r="A15" s="33">
        <v>13.0</v>
      </c>
      <c r="B15" s="39">
        <f t="shared" si="2"/>
        <v>46043</v>
      </c>
      <c r="C15" s="6" t="s">
        <v>70</v>
      </c>
      <c r="D15" s="6" t="s">
        <v>69</v>
      </c>
      <c r="E15" s="41" t="s">
        <v>66</v>
      </c>
      <c r="F15" s="7" t="s">
        <v>73</v>
      </c>
      <c r="G15" s="14" t="s">
        <v>68</v>
      </c>
      <c r="H15" s="35"/>
    </row>
    <row r="16">
      <c r="A16" s="36">
        <v>14.0</v>
      </c>
      <c r="B16" s="37">
        <f t="shared" si="2"/>
        <v>46050</v>
      </c>
      <c r="C16" s="6" t="s">
        <v>69</v>
      </c>
      <c r="D16" s="6" t="s">
        <v>70</v>
      </c>
      <c r="E16" s="20" t="s">
        <v>66</v>
      </c>
      <c r="F16" s="6" t="s">
        <v>74</v>
      </c>
      <c r="G16" s="21" t="s">
        <v>68</v>
      </c>
    </row>
    <row r="17">
      <c r="A17" s="33">
        <v>15.0</v>
      </c>
      <c r="B17" s="39">
        <f t="shared" si="2"/>
        <v>46057</v>
      </c>
      <c r="C17" s="6" t="s">
        <v>70</v>
      </c>
      <c r="D17" s="6" t="s">
        <v>69</v>
      </c>
      <c r="E17" s="41" t="s">
        <v>66</v>
      </c>
      <c r="F17" s="7" t="s">
        <v>75</v>
      </c>
      <c r="G17" s="14" t="s">
        <v>68</v>
      </c>
      <c r="H17" s="42" t="s">
        <v>80</v>
      </c>
    </row>
    <row r="18">
      <c r="A18" s="43"/>
      <c r="B18" s="44"/>
      <c r="C18" s="24"/>
      <c r="D18" s="24"/>
      <c r="E18" s="24"/>
      <c r="F18" s="24"/>
      <c r="G18" s="24"/>
      <c r="H18" s="45"/>
    </row>
    <row r="19">
      <c r="A19" s="46" t="s">
        <v>81</v>
      </c>
      <c r="B19" s="47"/>
      <c r="C19" s="48"/>
      <c r="D19" s="48"/>
      <c r="E19" s="48"/>
      <c r="F19" s="48"/>
      <c r="G19" s="48"/>
      <c r="H19" s="45"/>
    </row>
    <row r="20">
      <c r="A20" s="48"/>
      <c r="B20" s="44"/>
      <c r="C20" s="24"/>
      <c r="D20" s="24"/>
      <c r="E20" s="24"/>
      <c r="F20" s="24"/>
      <c r="G20" s="24"/>
      <c r="H20" s="45"/>
    </row>
    <row r="21">
      <c r="A21" s="43"/>
      <c r="B21" s="44"/>
      <c r="C21" s="24"/>
      <c r="D21" s="24"/>
      <c r="E21" s="24"/>
      <c r="G21" s="24"/>
      <c r="H21" s="45"/>
    </row>
  </sheetData>
  <mergeCells count="1">
    <mergeCell ref="C1:D1"/>
  </mergeCell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13"/>
    <col customWidth="1" min="2" max="2" width="100.13"/>
  </cols>
  <sheetData>
    <row r="1">
      <c r="A1" s="49" t="s">
        <v>82</v>
      </c>
      <c r="B1" s="50" t="s">
        <v>83</v>
      </c>
    </row>
    <row r="2">
      <c r="A2" s="15"/>
      <c r="B2" s="51" t="s">
        <v>84</v>
      </c>
    </row>
    <row r="3">
      <c r="A3" s="15"/>
      <c r="B3" s="51" t="s">
        <v>85</v>
      </c>
    </row>
    <row r="4">
      <c r="A4" s="15"/>
      <c r="B4" s="5" t="s">
        <v>86</v>
      </c>
    </row>
    <row r="5">
      <c r="A5" s="49" t="s">
        <v>87</v>
      </c>
      <c r="B5" s="51" t="s">
        <v>88</v>
      </c>
    </row>
    <row r="6">
      <c r="A6" s="15"/>
      <c r="B6" s="51" t="s">
        <v>89</v>
      </c>
    </row>
    <row r="7">
      <c r="A7" s="15"/>
      <c r="B7" s="51" t="s">
        <v>90</v>
      </c>
    </row>
    <row r="8">
      <c r="A8" s="49" t="s">
        <v>91</v>
      </c>
      <c r="B8" s="51" t="s">
        <v>92</v>
      </c>
    </row>
    <row r="9">
      <c r="A9" s="15"/>
      <c r="B9" s="51" t="s">
        <v>93</v>
      </c>
    </row>
    <row r="10">
      <c r="A10" s="18"/>
      <c r="B10" s="52" t="s">
        <v>94</v>
      </c>
    </row>
    <row r="11">
      <c r="A11" s="49" t="s">
        <v>95</v>
      </c>
      <c r="B11" s="52" t="s">
        <v>96</v>
      </c>
    </row>
    <row r="12">
      <c r="A12" s="8"/>
      <c r="B12" s="51" t="s">
        <v>97</v>
      </c>
    </row>
    <row r="13">
      <c r="A13" s="49" t="s">
        <v>98</v>
      </c>
      <c r="B13" s="52" t="s">
        <v>99</v>
      </c>
    </row>
    <row r="14">
      <c r="A14" s="8"/>
      <c r="B14" s="51" t="s">
        <v>100</v>
      </c>
    </row>
    <row r="15">
      <c r="A15" s="8"/>
      <c r="B15" s="51" t="s">
        <v>101</v>
      </c>
    </row>
    <row r="16">
      <c r="A16" s="8"/>
      <c r="B16" s="51" t="s">
        <v>102</v>
      </c>
    </row>
    <row r="17">
      <c r="A17" s="8"/>
      <c r="B17" s="8" t="s">
        <v>103</v>
      </c>
    </row>
    <row r="18">
      <c r="A18" s="53" t="s">
        <v>104</v>
      </c>
      <c r="B18" s="52" t="s">
        <v>105</v>
      </c>
    </row>
    <row r="19">
      <c r="A19" s="15"/>
      <c r="B19" s="51" t="s">
        <v>106</v>
      </c>
    </row>
    <row r="20">
      <c r="A20" s="8"/>
      <c r="B20" s="51" t="s">
        <v>107</v>
      </c>
    </row>
    <row r="21">
      <c r="A21" s="49" t="s">
        <v>108</v>
      </c>
      <c r="B21" s="52" t="s">
        <v>109</v>
      </c>
    </row>
    <row r="22">
      <c r="A22" s="15"/>
      <c r="B22" s="54" t="s">
        <v>110</v>
      </c>
    </row>
    <row r="23">
      <c r="A23" s="49" t="s">
        <v>111</v>
      </c>
      <c r="B23" s="52" t="s">
        <v>112</v>
      </c>
    </row>
    <row r="24">
      <c r="A24" s="15"/>
      <c r="B24" s="51" t="s">
        <v>113</v>
      </c>
    </row>
    <row r="25">
      <c r="A25" s="49" t="s">
        <v>114</v>
      </c>
      <c r="B25" s="52" t="s">
        <v>115</v>
      </c>
    </row>
    <row r="26">
      <c r="A26" s="15"/>
      <c r="B26" s="51" t="s">
        <v>116</v>
      </c>
    </row>
    <row r="27">
      <c r="A27" s="49" t="s">
        <v>117</v>
      </c>
      <c r="B27" s="5"/>
    </row>
    <row r="28">
      <c r="A28" s="15" t="s">
        <v>63</v>
      </c>
      <c r="B28" s="8" t="s">
        <v>68</v>
      </c>
    </row>
    <row r="29">
      <c r="A29" s="18" t="s">
        <v>118</v>
      </c>
      <c r="B29" s="5" t="s">
        <v>70</v>
      </c>
    </row>
    <row r="30">
      <c r="A30" s="8" t="s">
        <v>118</v>
      </c>
      <c r="B30" s="8" t="s">
        <v>69</v>
      </c>
    </row>
    <row r="31">
      <c r="A31" s="5" t="s">
        <v>119</v>
      </c>
      <c r="B31" s="7" t="s">
        <v>73</v>
      </c>
    </row>
    <row r="32">
      <c r="A32" s="8" t="s">
        <v>119</v>
      </c>
      <c r="B32" s="8" t="s">
        <v>77</v>
      </c>
    </row>
    <row r="33">
      <c r="A33" s="5" t="s">
        <v>119</v>
      </c>
      <c r="B33" s="5" t="s">
        <v>75</v>
      </c>
    </row>
    <row r="34">
      <c r="A34" s="8" t="s">
        <v>119</v>
      </c>
      <c r="B34" s="8" t="s">
        <v>74</v>
      </c>
    </row>
    <row r="35">
      <c r="A35" s="8" t="s">
        <v>119</v>
      </c>
      <c r="B35" s="8" t="s">
        <v>71</v>
      </c>
    </row>
    <row r="36">
      <c r="A36" s="5"/>
      <c r="B36" s="5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2" width="62.63"/>
  </cols>
  <sheetData>
    <row r="1">
      <c r="A1" s="55" t="s">
        <v>120</v>
      </c>
      <c r="B1" s="55" t="s">
        <v>121</v>
      </c>
    </row>
    <row r="2">
      <c r="A2" s="56"/>
      <c r="B2" s="57"/>
    </row>
    <row r="3">
      <c r="A3" s="58" t="s">
        <v>122</v>
      </c>
      <c r="B3" s="58" t="s">
        <v>123</v>
      </c>
    </row>
  </sheetData>
  <mergeCells count="2">
    <mergeCell ref="A3:A20"/>
    <mergeCell ref="B3:B2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25.13"/>
    <col customWidth="1" min="2" max="2" width="100.13"/>
  </cols>
  <sheetData>
    <row r="1">
      <c r="A1" s="59" t="s">
        <v>124</v>
      </c>
      <c r="B1" s="59" t="s">
        <v>125</v>
      </c>
    </row>
    <row r="2">
      <c r="A2" s="2"/>
      <c r="B2" s="2"/>
    </row>
    <row r="3">
      <c r="A3" s="2"/>
      <c r="B3" s="2"/>
    </row>
    <row r="4">
      <c r="A4" s="2"/>
      <c r="B4" s="2"/>
    </row>
    <row r="5">
      <c r="A5" s="2"/>
      <c r="B5" s="2"/>
    </row>
    <row r="6">
      <c r="A6" s="2"/>
      <c r="B6" s="2"/>
    </row>
    <row r="7">
      <c r="A7" s="2"/>
      <c r="B7" s="2"/>
    </row>
    <row r="8">
      <c r="A8" s="2"/>
      <c r="B8" s="2"/>
    </row>
    <row r="9">
      <c r="A9" s="2"/>
      <c r="B9" s="2"/>
    </row>
    <row r="10">
      <c r="A10" s="2"/>
      <c r="B10" s="2"/>
    </row>
    <row r="11">
      <c r="A11" s="2"/>
      <c r="B11" s="2"/>
    </row>
    <row r="12">
      <c r="A12" s="2"/>
      <c r="B12" s="2"/>
    </row>
    <row r="13">
      <c r="A13" s="2"/>
      <c r="B13" s="2"/>
    </row>
    <row r="14">
      <c r="A14" s="2"/>
      <c r="B14" s="2"/>
    </row>
    <row r="15">
      <c r="A15" s="2"/>
      <c r="B15" s="2"/>
    </row>
    <row r="16">
      <c r="A16" s="2"/>
      <c r="B16" s="2"/>
    </row>
    <row r="17">
      <c r="A17" s="2"/>
      <c r="B17" s="2"/>
    </row>
    <row r="18">
      <c r="A18" s="2"/>
      <c r="B18" s="2"/>
    </row>
    <row r="19">
      <c r="A19" s="2"/>
      <c r="B19" s="2"/>
    </row>
    <row r="20">
      <c r="A20" s="2"/>
      <c r="B20" s="2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2.63"/>
    <col customWidth="1" min="2" max="2" width="112.63"/>
  </cols>
  <sheetData>
    <row r="1">
      <c r="A1" s="60" t="s">
        <v>126</v>
      </c>
      <c r="B1" s="3" t="s">
        <v>127</v>
      </c>
    </row>
    <row r="2">
      <c r="A2" s="61">
        <v>1.0</v>
      </c>
      <c r="B2" s="12" t="s">
        <v>128</v>
      </c>
    </row>
    <row r="3">
      <c r="A3" s="61">
        <f t="shared" ref="A3:A16" si="1">A2+1</f>
        <v>2</v>
      </c>
      <c r="B3" s="12" t="s">
        <v>128</v>
      </c>
    </row>
    <row r="4">
      <c r="A4" s="61">
        <f t="shared" si="1"/>
        <v>3</v>
      </c>
      <c r="B4" s="12" t="s">
        <v>128</v>
      </c>
    </row>
    <row r="5">
      <c r="A5" s="61">
        <f t="shared" si="1"/>
        <v>4</v>
      </c>
      <c r="B5" s="62" t="s">
        <v>129</v>
      </c>
    </row>
    <row r="6">
      <c r="A6" s="61">
        <f t="shared" si="1"/>
        <v>5</v>
      </c>
      <c r="B6" s="12" t="s">
        <v>130</v>
      </c>
    </row>
    <row r="7">
      <c r="A7" s="61">
        <f t="shared" si="1"/>
        <v>6</v>
      </c>
      <c r="B7" s="2"/>
    </row>
    <row r="8">
      <c r="A8" s="61">
        <f t="shared" si="1"/>
        <v>7</v>
      </c>
      <c r="B8" s="2"/>
    </row>
    <row r="9">
      <c r="A9" s="61">
        <f t="shared" si="1"/>
        <v>8</v>
      </c>
      <c r="B9" s="2"/>
    </row>
    <row r="10">
      <c r="A10" s="61">
        <f t="shared" si="1"/>
        <v>9</v>
      </c>
      <c r="B10" s="2"/>
    </row>
    <row r="11">
      <c r="A11" s="61">
        <f t="shared" si="1"/>
        <v>10</v>
      </c>
      <c r="B11" s="2"/>
    </row>
    <row r="12">
      <c r="A12" s="61">
        <f t="shared" si="1"/>
        <v>11</v>
      </c>
      <c r="B12" s="2"/>
    </row>
    <row r="13">
      <c r="A13" s="61">
        <f t="shared" si="1"/>
        <v>12</v>
      </c>
      <c r="B13" s="2"/>
    </row>
    <row r="14">
      <c r="A14" s="61">
        <f t="shared" si="1"/>
        <v>13</v>
      </c>
      <c r="B14" s="2"/>
    </row>
    <row r="15">
      <c r="A15" s="61">
        <f t="shared" si="1"/>
        <v>14</v>
      </c>
      <c r="B15" s="2"/>
    </row>
    <row r="16">
      <c r="A16" s="61">
        <f t="shared" si="1"/>
        <v>15</v>
      </c>
      <c r="B16" s="2"/>
    </row>
    <row r="17">
      <c r="A17" s="61"/>
      <c r="B17" s="2"/>
    </row>
    <row r="18">
      <c r="A18" s="61"/>
      <c r="B18" s="2"/>
    </row>
    <row r="19">
      <c r="A19" s="63"/>
      <c r="B19" s="2"/>
    </row>
    <row r="20">
      <c r="A20" s="63"/>
      <c r="B20" s="2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2.63"/>
    <col customWidth="1" min="2" max="2" width="112.63"/>
  </cols>
  <sheetData>
    <row r="1">
      <c r="A1" s="60" t="s">
        <v>126</v>
      </c>
      <c r="B1" s="3" t="s">
        <v>131</v>
      </c>
    </row>
    <row r="2">
      <c r="A2" s="61">
        <v>1.0</v>
      </c>
      <c r="B2" s="12"/>
    </row>
    <row r="3">
      <c r="A3" s="61">
        <f t="shared" ref="A3:A16" si="1">A2+1</f>
        <v>2</v>
      </c>
      <c r="B3" s="12"/>
    </row>
    <row r="4">
      <c r="A4" s="61">
        <f t="shared" si="1"/>
        <v>3</v>
      </c>
      <c r="B4" s="12"/>
    </row>
    <row r="5">
      <c r="A5" s="61">
        <f t="shared" si="1"/>
        <v>4</v>
      </c>
    </row>
    <row r="6">
      <c r="A6" s="61">
        <f t="shared" si="1"/>
        <v>5</v>
      </c>
      <c r="B6" s="12"/>
    </row>
    <row r="7">
      <c r="A7" s="61">
        <f t="shared" si="1"/>
        <v>6</v>
      </c>
      <c r="B7" s="2"/>
    </row>
    <row r="8">
      <c r="A8" s="61">
        <f t="shared" si="1"/>
        <v>7</v>
      </c>
      <c r="B8" s="2"/>
    </row>
    <row r="9">
      <c r="A9" s="61">
        <f t="shared" si="1"/>
        <v>8</v>
      </c>
      <c r="B9" s="2"/>
    </row>
    <row r="10">
      <c r="A10" s="61">
        <f t="shared" si="1"/>
        <v>9</v>
      </c>
      <c r="B10" s="2"/>
    </row>
    <row r="11">
      <c r="A11" s="61">
        <f t="shared" si="1"/>
        <v>10</v>
      </c>
      <c r="B11" s="2"/>
    </row>
    <row r="12">
      <c r="A12" s="61">
        <f t="shared" si="1"/>
        <v>11</v>
      </c>
      <c r="B12" s="2"/>
    </row>
    <row r="13">
      <c r="A13" s="61">
        <f t="shared" si="1"/>
        <v>12</v>
      </c>
      <c r="B13" s="2"/>
    </row>
    <row r="14">
      <c r="A14" s="61">
        <f t="shared" si="1"/>
        <v>13</v>
      </c>
      <c r="B14" s="2"/>
    </row>
    <row r="15">
      <c r="A15" s="61">
        <f t="shared" si="1"/>
        <v>14</v>
      </c>
      <c r="B15" s="2"/>
    </row>
    <row r="16">
      <c r="A16" s="61">
        <f t="shared" si="1"/>
        <v>15</v>
      </c>
      <c r="B16" s="2"/>
    </row>
    <row r="17">
      <c r="A17" s="61"/>
      <c r="B17" s="2"/>
    </row>
    <row r="18">
      <c r="A18" s="61"/>
      <c r="B18" s="64" t="s">
        <v>132</v>
      </c>
    </row>
    <row r="19">
      <c r="A19" s="63"/>
      <c r="B19" s="2"/>
    </row>
    <row r="20">
      <c r="A20" s="63"/>
      <c r="B20" s="2"/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2.63"/>
    <col customWidth="1" min="2" max="2" width="112.63"/>
  </cols>
  <sheetData>
    <row r="1">
      <c r="A1" s="60" t="s">
        <v>126</v>
      </c>
      <c r="B1" s="3" t="s">
        <v>131</v>
      </c>
    </row>
    <row r="2">
      <c r="A2" s="61">
        <v>1.0</v>
      </c>
      <c r="B2" s="12"/>
    </row>
    <row r="3">
      <c r="A3" s="61">
        <f t="shared" ref="A3:A16" si="1">A2+1</f>
        <v>2</v>
      </c>
      <c r="B3" s="12"/>
    </row>
    <row r="4">
      <c r="A4" s="61">
        <f t="shared" si="1"/>
        <v>3</v>
      </c>
      <c r="B4" s="12"/>
    </row>
    <row r="5">
      <c r="A5" s="61">
        <f t="shared" si="1"/>
        <v>4</v>
      </c>
    </row>
    <row r="6">
      <c r="A6" s="61">
        <f t="shared" si="1"/>
        <v>5</v>
      </c>
      <c r="B6" s="12"/>
    </row>
    <row r="7">
      <c r="A7" s="61">
        <f t="shared" si="1"/>
        <v>6</v>
      </c>
      <c r="B7" s="2"/>
    </row>
    <row r="8">
      <c r="A8" s="61">
        <f t="shared" si="1"/>
        <v>7</v>
      </c>
      <c r="B8" s="2"/>
    </row>
    <row r="9">
      <c r="A9" s="61">
        <f t="shared" si="1"/>
        <v>8</v>
      </c>
      <c r="B9" s="2"/>
    </row>
    <row r="10">
      <c r="A10" s="61">
        <f t="shared" si="1"/>
        <v>9</v>
      </c>
      <c r="B10" s="2"/>
    </row>
    <row r="11">
      <c r="A11" s="61">
        <f t="shared" si="1"/>
        <v>10</v>
      </c>
      <c r="B11" s="2"/>
    </row>
    <row r="12">
      <c r="A12" s="61">
        <f t="shared" si="1"/>
        <v>11</v>
      </c>
      <c r="B12" s="2"/>
    </row>
    <row r="13">
      <c r="A13" s="61">
        <f t="shared" si="1"/>
        <v>12</v>
      </c>
      <c r="B13" s="2"/>
    </row>
    <row r="14">
      <c r="A14" s="61">
        <f t="shared" si="1"/>
        <v>13</v>
      </c>
      <c r="B14" s="2"/>
    </row>
    <row r="15">
      <c r="A15" s="61">
        <f t="shared" si="1"/>
        <v>14</v>
      </c>
      <c r="B15" s="2"/>
    </row>
    <row r="16">
      <c r="A16" s="61">
        <f t="shared" si="1"/>
        <v>15</v>
      </c>
      <c r="B16" s="2"/>
    </row>
    <row r="17">
      <c r="A17" s="61"/>
      <c r="B17" s="2"/>
    </row>
    <row r="18">
      <c r="A18" s="61"/>
      <c r="B18" s="64"/>
    </row>
    <row r="19">
      <c r="A19" s="63"/>
      <c r="B19" s="2"/>
    </row>
    <row r="20">
      <c r="A20" s="63"/>
      <c r="B20" s="2"/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2" width="6.38"/>
    <col customWidth="1" min="3" max="3" width="62.63"/>
    <col customWidth="1" min="4" max="7" width="15.75"/>
  </cols>
  <sheetData>
    <row r="1">
      <c r="A1" s="65" t="s">
        <v>133</v>
      </c>
      <c r="B1" s="66" t="s">
        <v>134</v>
      </c>
      <c r="C1" s="67" t="s">
        <v>135</v>
      </c>
      <c r="D1" s="68" t="s">
        <v>136</v>
      </c>
      <c r="E1" s="68" t="s">
        <v>137</v>
      </c>
      <c r="F1" s="68" t="s">
        <v>138</v>
      </c>
      <c r="G1" s="68" t="s">
        <v>139</v>
      </c>
    </row>
    <row r="2">
      <c r="A2" s="69"/>
      <c r="B2" s="70"/>
      <c r="C2" s="71"/>
      <c r="D2" s="71"/>
      <c r="E2" s="71"/>
      <c r="F2" s="71"/>
      <c r="G2" s="71"/>
    </row>
    <row r="3">
      <c r="A3" s="72" t="s">
        <v>140</v>
      </c>
      <c r="B3" s="73"/>
      <c r="C3" s="74"/>
      <c r="D3" s="74"/>
      <c r="E3" s="74"/>
      <c r="F3" s="74"/>
      <c r="G3" s="74"/>
    </row>
    <row r="4">
      <c r="A4" s="69"/>
      <c r="B4" s="70"/>
      <c r="C4" s="71"/>
      <c r="D4" s="71"/>
      <c r="E4" s="71"/>
      <c r="F4" s="71"/>
      <c r="G4" s="71"/>
    </row>
    <row r="5">
      <c r="A5" s="75" t="s">
        <v>141</v>
      </c>
      <c r="B5" s="76"/>
      <c r="C5" s="77"/>
      <c r="D5" s="78">
        <f>sum(D8:D13)</f>
        <v>0</v>
      </c>
      <c r="E5" s="78">
        <f>D5</f>
        <v>0</v>
      </c>
      <c r="F5" s="77"/>
      <c r="G5" s="77"/>
    </row>
    <row r="6">
      <c r="A6" s="69"/>
      <c r="B6" s="70"/>
      <c r="C6" s="71"/>
      <c r="D6" s="71"/>
      <c r="E6" s="71"/>
      <c r="F6" s="71"/>
      <c r="G6" s="71"/>
    </row>
    <row r="7">
      <c r="A7" s="79" t="s">
        <v>142</v>
      </c>
      <c r="B7" s="80"/>
      <c r="C7" s="81"/>
      <c r="D7" s="81"/>
      <c r="E7" s="81"/>
      <c r="F7" s="81"/>
      <c r="G7" s="81"/>
    </row>
    <row r="8">
      <c r="A8" s="69"/>
      <c r="B8" s="70"/>
      <c r="C8" s="71"/>
      <c r="D8" s="71"/>
      <c r="E8" s="82" t="s">
        <v>143</v>
      </c>
      <c r="F8" s="71"/>
      <c r="G8" s="82" t="s">
        <v>144</v>
      </c>
    </row>
    <row r="9">
      <c r="A9" s="83">
        <v>1.0</v>
      </c>
      <c r="B9" s="75"/>
      <c r="C9" s="77"/>
      <c r="D9" s="78">
        <f>sum(D16:D21)</f>
        <v>0</v>
      </c>
      <c r="E9" s="78">
        <f>$D$5</f>
        <v>0</v>
      </c>
      <c r="F9" s="78">
        <f>sum(F16:F21)</f>
        <v>0</v>
      </c>
      <c r="G9" s="78">
        <f>$D$5</f>
        <v>0</v>
      </c>
    </row>
    <row r="10">
      <c r="A10" s="69">
        <f t="shared" ref="A10:A11" si="1">A9+1</f>
        <v>2</v>
      </c>
      <c r="B10" s="70"/>
      <c r="C10" s="71"/>
      <c r="D10" s="84">
        <f>sum(D22:D27)</f>
        <v>0</v>
      </c>
      <c r="E10" s="84">
        <f t="shared" ref="E10:E12" si="2">E9-D9</f>
        <v>0</v>
      </c>
      <c r="F10" s="84">
        <f>sum(F22:F27)</f>
        <v>0</v>
      </c>
      <c r="G10" s="84">
        <f t="shared" ref="G10:G12" si="3">G9-F9</f>
        <v>0</v>
      </c>
    </row>
    <row r="11">
      <c r="A11" s="83">
        <f t="shared" si="1"/>
        <v>3</v>
      </c>
      <c r="B11" s="75"/>
      <c r="C11" s="77"/>
      <c r="D11" s="78">
        <f>sum(D28:D33)</f>
        <v>0</v>
      </c>
      <c r="E11" s="78">
        <f t="shared" si="2"/>
        <v>0</v>
      </c>
      <c r="F11" s="78">
        <f>sum(F28:F33)</f>
        <v>0</v>
      </c>
      <c r="G11" s="78">
        <f t="shared" si="3"/>
        <v>0</v>
      </c>
    </row>
    <row r="12">
      <c r="A12" s="85" t="s">
        <v>1</v>
      </c>
      <c r="B12" s="86"/>
      <c r="C12" s="71"/>
      <c r="D12" s="71"/>
      <c r="E12" s="84">
        <f t="shared" si="2"/>
        <v>0</v>
      </c>
      <c r="F12" s="71"/>
      <c r="G12" s="84">
        <f t="shared" si="3"/>
        <v>0</v>
      </c>
    </row>
    <row r="13">
      <c r="A13" s="83"/>
      <c r="B13" s="75"/>
      <c r="C13" s="77"/>
      <c r="D13" s="77"/>
      <c r="E13" s="77"/>
      <c r="F13" s="77"/>
      <c r="G13" s="77"/>
    </row>
    <row r="14">
      <c r="A14" s="87" t="s">
        <v>145</v>
      </c>
      <c r="B14" s="88"/>
      <c r="C14" s="89"/>
      <c r="D14" s="89"/>
      <c r="E14" s="89"/>
      <c r="F14" s="89"/>
      <c r="G14" s="89"/>
    </row>
    <row r="15">
      <c r="A15" s="83"/>
      <c r="B15" s="75"/>
      <c r="C15" s="77"/>
      <c r="D15" s="77"/>
      <c r="E15" s="77"/>
      <c r="F15" s="77"/>
      <c r="G15" s="77"/>
    </row>
    <row r="16">
      <c r="A16" s="90">
        <f t="shared" ref="A16:B16" si="4">A9</f>
        <v>1</v>
      </c>
      <c r="B16" s="91" t="str">
        <f t="shared" si="4"/>
        <v/>
      </c>
      <c r="C16" s="71"/>
      <c r="D16" s="71"/>
      <c r="E16" s="71"/>
      <c r="F16" s="71"/>
      <c r="G16" s="71"/>
    </row>
    <row r="17">
      <c r="A17" s="83"/>
      <c r="B17" s="92"/>
      <c r="C17" s="77"/>
      <c r="D17" s="77"/>
      <c r="E17" s="77"/>
      <c r="F17" s="77"/>
      <c r="G17" s="77"/>
    </row>
    <row r="18">
      <c r="A18" s="69"/>
      <c r="B18" s="70"/>
      <c r="C18" s="86"/>
      <c r="D18" s="93"/>
      <c r="E18" s="70"/>
      <c r="F18" s="93"/>
      <c r="G18" s="70"/>
    </row>
    <row r="19">
      <c r="A19" s="83"/>
      <c r="B19" s="92"/>
      <c r="C19" s="77"/>
      <c r="D19" s="78"/>
      <c r="E19" s="77"/>
      <c r="F19" s="78"/>
      <c r="G19" s="77"/>
    </row>
    <row r="20">
      <c r="A20" s="94"/>
      <c r="B20" s="86"/>
      <c r="C20" s="86"/>
      <c r="D20" s="84"/>
      <c r="E20" s="86"/>
      <c r="F20" s="84"/>
      <c r="G20" s="86"/>
    </row>
    <row r="21">
      <c r="A21" s="83"/>
      <c r="B21" s="92"/>
      <c r="C21" s="77"/>
      <c r="D21" s="78"/>
      <c r="E21" s="77"/>
      <c r="F21" s="78"/>
      <c r="G21" s="77"/>
    </row>
    <row r="22">
      <c r="A22" s="90">
        <f t="shared" ref="A22:B22" si="5">A10</f>
        <v>2</v>
      </c>
      <c r="B22" s="91" t="str">
        <f t="shared" si="5"/>
        <v/>
      </c>
      <c r="C22" s="71"/>
      <c r="D22" s="71"/>
      <c r="E22" s="71"/>
      <c r="F22" s="71"/>
      <c r="G22" s="71"/>
    </row>
    <row r="23">
      <c r="A23" s="83"/>
      <c r="B23" s="92"/>
      <c r="C23" s="77"/>
      <c r="D23" s="77"/>
      <c r="E23" s="77"/>
      <c r="F23" s="77"/>
      <c r="G23" s="77"/>
    </row>
    <row r="24">
      <c r="A24" s="94"/>
      <c r="B24" s="86"/>
      <c r="C24" s="86"/>
      <c r="D24" s="84"/>
      <c r="E24" s="86"/>
      <c r="F24" s="84"/>
      <c r="G24" s="86"/>
    </row>
    <row r="25">
      <c r="A25" s="83"/>
      <c r="B25" s="92"/>
      <c r="C25" s="77"/>
      <c r="D25" s="78"/>
      <c r="E25" s="77"/>
      <c r="F25" s="78"/>
      <c r="G25" s="77"/>
    </row>
    <row r="26">
      <c r="A26" s="94"/>
      <c r="B26" s="86"/>
      <c r="C26" s="86"/>
      <c r="D26" s="84"/>
      <c r="E26" s="86"/>
      <c r="F26" s="84"/>
      <c r="G26" s="86"/>
    </row>
    <row r="27">
      <c r="A27" s="83"/>
      <c r="B27" s="92"/>
      <c r="C27" s="77"/>
      <c r="D27" s="78"/>
      <c r="E27" s="77"/>
      <c r="F27" s="78"/>
      <c r="G27" s="77"/>
    </row>
    <row r="28">
      <c r="A28" s="90">
        <f t="shared" ref="A28:B28" si="6">A11</f>
        <v>3</v>
      </c>
      <c r="B28" s="91" t="str">
        <f t="shared" si="6"/>
        <v/>
      </c>
      <c r="C28" s="71"/>
      <c r="D28" s="71"/>
      <c r="E28" s="71"/>
      <c r="F28" s="71"/>
      <c r="G28" s="71"/>
    </row>
    <row r="29">
      <c r="A29" s="83"/>
      <c r="B29" s="92"/>
      <c r="C29" s="77"/>
      <c r="D29" s="77"/>
      <c r="E29" s="77"/>
      <c r="F29" s="77"/>
      <c r="G29" s="77"/>
    </row>
    <row r="30">
      <c r="A30" s="94"/>
      <c r="B30" s="86"/>
      <c r="C30" s="86"/>
      <c r="D30" s="84"/>
      <c r="E30" s="86"/>
      <c r="F30" s="86"/>
      <c r="G30" s="86"/>
    </row>
    <row r="31">
      <c r="A31" s="83"/>
      <c r="B31" s="92"/>
      <c r="C31" s="77"/>
      <c r="D31" s="78"/>
      <c r="E31" s="77"/>
      <c r="F31" s="77"/>
      <c r="G31" s="77"/>
    </row>
    <row r="32">
      <c r="A32" s="94"/>
      <c r="B32" s="86"/>
      <c r="C32" s="71"/>
      <c r="D32" s="84"/>
      <c r="E32" s="86"/>
      <c r="F32" s="86"/>
      <c r="G32" s="86"/>
    </row>
    <row r="33">
      <c r="A33" s="83"/>
      <c r="B33" s="92"/>
      <c r="C33" s="95" t="s">
        <v>146</v>
      </c>
      <c r="D33" s="78"/>
      <c r="E33" s="77"/>
      <c r="F33" s="77"/>
      <c r="G33" s="77"/>
    </row>
    <row r="34">
      <c r="A34" s="94"/>
      <c r="B34" s="86"/>
      <c r="C34" s="71"/>
      <c r="D34" s="71"/>
      <c r="E34" s="71"/>
      <c r="F34" s="71"/>
      <c r="G34" s="71"/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2" width="6.38"/>
    <col customWidth="1" min="3" max="3" width="62.63"/>
    <col customWidth="1" min="4" max="7" width="15.75"/>
  </cols>
  <sheetData>
    <row r="1">
      <c r="A1" s="65" t="s">
        <v>133</v>
      </c>
      <c r="B1" s="96" t="s">
        <v>134</v>
      </c>
      <c r="C1" s="67" t="s">
        <v>135</v>
      </c>
      <c r="D1" s="68" t="s">
        <v>136</v>
      </c>
      <c r="E1" s="68" t="s">
        <v>137</v>
      </c>
      <c r="F1" s="68" t="s">
        <v>138</v>
      </c>
      <c r="G1" s="68" t="s">
        <v>139</v>
      </c>
    </row>
    <row r="2">
      <c r="A2" s="69"/>
      <c r="B2" s="71"/>
      <c r="C2" s="71"/>
      <c r="D2" s="71"/>
      <c r="E2" s="71"/>
      <c r="F2" s="71"/>
      <c r="G2" s="71"/>
    </row>
    <row r="3">
      <c r="A3" s="72" t="s">
        <v>140</v>
      </c>
      <c r="B3" s="74"/>
      <c r="C3" s="74"/>
      <c r="D3" s="74"/>
      <c r="E3" s="74"/>
      <c r="F3" s="74"/>
      <c r="G3" s="74"/>
    </row>
    <row r="4">
      <c r="A4" s="69"/>
      <c r="B4" s="71"/>
      <c r="C4" s="71"/>
      <c r="D4" s="71"/>
      <c r="E4" s="71"/>
      <c r="F4" s="71"/>
      <c r="G4" s="71"/>
    </row>
    <row r="5">
      <c r="A5" s="75" t="s">
        <v>141</v>
      </c>
      <c r="B5" s="77"/>
      <c r="C5" s="77"/>
      <c r="D5" s="78">
        <f>sum(D8:D13)</f>
        <v>0</v>
      </c>
      <c r="E5" s="78">
        <f>D5</f>
        <v>0</v>
      </c>
      <c r="F5" s="77"/>
      <c r="G5" s="77"/>
    </row>
    <row r="6">
      <c r="A6" s="69"/>
      <c r="B6" s="71"/>
      <c r="C6" s="71"/>
      <c r="D6" s="71"/>
      <c r="E6" s="71"/>
      <c r="F6" s="71"/>
      <c r="G6" s="71"/>
    </row>
    <row r="7">
      <c r="A7" s="79" t="s">
        <v>142</v>
      </c>
      <c r="B7" s="97"/>
      <c r="C7" s="81"/>
      <c r="D7" s="81"/>
      <c r="E7" s="81"/>
      <c r="F7" s="81"/>
      <c r="G7" s="81"/>
    </row>
    <row r="8">
      <c r="A8" s="69"/>
      <c r="B8" s="71"/>
      <c r="C8" s="71"/>
      <c r="D8" s="71"/>
      <c r="E8" s="82" t="s">
        <v>143</v>
      </c>
      <c r="F8" s="71"/>
      <c r="G8" s="82" t="s">
        <v>144</v>
      </c>
    </row>
    <row r="9">
      <c r="A9" s="83">
        <v>1.0</v>
      </c>
      <c r="B9" s="77"/>
      <c r="C9" s="77"/>
      <c r="D9" s="78">
        <f>sum(D16:D21)</f>
        <v>0</v>
      </c>
      <c r="E9" s="78">
        <f>$D$5</f>
        <v>0</v>
      </c>
      <c r="F9" s="78">
        <f>sum(F16:F21)</f>
        <v>0</v>
      </c>
      <c r="G9" s="78">
        <f>$D$5</f>
        <v>0</v>
      </c>
    </row>
    <row r="10">
      <c r="A10" s="69">
        <f t="shared" ref="A10:A11" si="1">A9+1</f>
        <v>2</v>
      </c>
      <c r="B10" s="71"/>
      <c r="C10" s="71"/>
      <c r="D10" s="84">
        <f>sum(D22:D27)</f>
        <v>0</v>
      </c>
      <c r="E10" s="84">
        <f t="shared" ref="E10:E12" si="2">E9-D9</f>
        <v>0</v>
      </c>
      <c r="F10" s="84">
        <f>sum(F22:F27)</f>
        <v>0</v>
      </c>
      <c r="G10" s="84">
        <f t="shared" ref="G10:G12" si="3">G9-F9</f>
        <v>0</v>
      </c>
    </row>
    <row r="11">
      <c r="A11" s="83">
        <f t="shared" si="1"/>
        <v>3</v>
      </c>
      <c r="B11" s="77"/>
      <c r="C11" s="77"/>
      <c r="D11" s="78">
        <f>sum(D28:D33)</f>
        <v>0</v>
      </c>
      <c r="E11" s="78">
        <f t="shared" si="2"/>
        <v>0</v>
      </c>
      <c r="F11" s="78">
        <f>sum(F28:F33)</f>
        <v>0</v>
      </c>
      <c r="G11" s="78">
        <f t="shared" si="3"/>
        <v>0</v>
      </c>
    </row>
    <row r="12">
      <c r="A12" s="85" t="s">
        <v>1</v>
      </c>
      <c r="B12" s="71"/>
      <c r="C12" s="71"/>
      <c r="D12" s="71"/>
      <c r="E12" s="84">
        <f t="shared" si="2"/>
        <v>0</v>
      </c>
      <c r="F12" s="71"/>
      <c r="G12" s="84">
        <f t="shared" si="3"/>
        <v>0</v>
      </c>
    </row>
    <row r="13">
      <c r="A13" s="83"/>
      <c r="B13" s="77"/>
      <c r="C13" s="77"/>
      <c r="D13" s="77"/>
      <c r="E13" s="77"/>
      <c r="F13" s="77"/>
      <c r="G13" s="77"/>
    </row>
    <row r="14">
      <c r="A14" s="87" t="s">
        <v>145</v>
      </c>
      <c r="B14" s="88"/>
      <c r="C14" s="89"/>
      <c r="D14" s="89"/>
      <c r="E14" s="89"/>
      <c r="F14" s="89"/>
      <c r="G14" s="89"/>
    </row>
    <row r="15">
      <c r="A15" s="83"/>
      <c r="B15" s="77"/>
      <c r="C15" s="77"/>
      <c r="D15" s="77"/>
      <c r="E15" s="77"/>
      <c r="F15" s="77"/>
      <c r="G15" s="77"/>
    </row>
    <row r="16">
      <c r="A16" s="90">
        <f>A9</f>
        <v>1</v>
      </c>
      <c r="B16" s="71"/>
      <c r="C16" s="71"/>
      <c r="D16" s="71"/>
      <c r="E16" s="71"/>
      <c r="F16" s="71"/>
      <c r="G16" s="71"/>
    </row>
    <row r="17">
      <c r="A17" s="83"/>
      <c r="B17" s="92"/>
      <c r="C17" s="77"/>
      <c r="D17" s="77"/>
      <c r="E17" s="77"/>
      <c r="F17" s="77"/>
      <c r="G17" s="77"/>
    </row>
    <row r="18">
      <c r="A18" s="69"/>
      <c r="B18" s="98"/>
      <c r="C18" s="86"/>
      <c r="D18" s="93"/>
      <c r="E18" s="70"/>
      <c r="F18" s="93"/>
      <c r="G18" s="70"/>
    </row>
    <row r="19">
      <c r="A19" s="83"/>
      <c r="B19" s="77"/>
      <c r="C19" s="77"/>
      <c r="D19" s="78"/>
      <c r="E19" s="77"/>
      <c r="F19" s="78"/>
      <c r="G19" s="77"/>
    </row>
    <row r="20">
      <c r="A20" s="94"/>
      <c r="B20" s="71"/>
      <c r="C20" s="86"/>
      <c r="D20" s="84"/>
      <c r="E20" s="86"/>
      <c r="F20" s="84"/>
      <c r="G20" s="86"/>
    </row>
    <row r="21">
      <c r="A21" s="83"/>
      <c r="B21" s="77"/>
      <c r="C21" s="77"/>
      <c r="D21" s="78"/>
      <c r="E21" s="77"/>
      <c r="F21" s="78"/>
      <c r="G21" s="77"/>
    </row>
    <row r="22">
      <c r="A22" s="90">
        <f>A10</f>
        <v>2</v>
      </c>
      <c r="B22" s="71"/>
      <c r="C22" s="71"/>
      <c r="D22" s="71"/>
      <c r="E22" s="71"/>
      <c r="F22" s="71"/>
      <c r="G22" s="71"/>
    </row>
    <row r="23">
      <c r="A23" s="83"/>
      <c r="B23" s="92"/>
      <c r="C23" s="77"/>
      <c r="D23" s="77"/>
      <c r="E23" s="77"/>
      <c r="F23" s="77"/>
      <c r="G23" s="77"/>
    </row>
    <row r="24">
      <c r="A24" s="94"/>
      <c r="B24" s="71"/>
      <c r="C24" s="86"/>
      <c r="D24" s="84"/>
      <c r="E24" s="86"/>
      <c r="F24" s="84"/>
      <c r="G24" s="86"/>
    </row>
    <row r="25">
      <c r="A25" s="83"/>
      <c r="B25" s="77"/>
      <c r="C25" s="77"/>
      <c r="D25" s="78"/>
      <c r="E25" s="77"/>
      <c r="F25" s="78"/>
      <c r="G25" s="77"/>
    </row>
    <row r="26">
      <c r="A26" s="94"/>
      <c r="B26" s="71"/>
      <c r="C26" s="86"/>
      <c r="D26" s="84"/>
      <c r="E26" s="86"/>
      <c r="F26" s="84"/>
      <c r="G26" s="86"/>
    </row>
    <row r="27">
      <c r="A27" s="83"/>
      <c r="B27" s="77"/>
      <c r="C27" s="77"/>
      <c r="D27" s="78"/>
      <c r="E27" s="77"/>
      <c r="F27" s="78"/>
      <c r="G27" s="77"/>
    </row>
    <row r="28">
      <c r="A28" s="90">
        <f>A11</f>
        <v>3</v>
      </c>
      <c r="B28" s="71"/>
      <c r="C28" s="71"/>
      <c r="D28" s="71"/>
      <c r="E28" s="71"/>
      <c r="F28" s="71"/>
      <c r="G28" s="71"/>
    </row>
    <row r="29">
      <c r="A29" s="83"/>
      <c r="B29" s="92"/>
      <c r="C29" s="77"/>
      <c r="D29" s="77"/>
      <c r="E29" s="77"/>
      <c r="F29" s="77"/>
      <c r="G29" s="77"/>
    </row>
    <row r="30">
      <c r="A30" s="94"/>
      <c r="B30" s="71"/>
      <c r="C30" s="86"/>
      <c r="D30" s="84"/>
      <c r="E30" s="86"/>
      <c r="F30" s="86"/>
      <c r="G30" s="86"/>
    </row>
    <row r="31">
      <c r="A31" s="83"/>
      <c r="B31" s="77"/>
      <c r="C31" s="77"/>
      <c r="D31" s="78"/>
      <c r="E31" s="77"/>
      <c r="F31" s="77"/>
      <c r="G31" s="77"/>
    </row>
    <row r="32">
      <c r="A32" s="94"/>
      <c r="B32" s="71"/>
      <c r="C32" s="71"/>
      <c r="D32" s="84"/>
      <c r="E32" s="86"/>
      <c r="F32" s="86"/>
      <c r="G32" s="86"/>
    </row>
    <row r="33">
      <c r="A33" s="83"/>
      <c r="B33" s="77"/>
      <c r="C33" s="95" t="s">
        <v>146</v>
      </c>
      <c r="D33" s="78"/>
      <c r="E33" s="77"/>
      <c r="F33" s="77"/>
      <c r="G33" s="77"/>
    </row>
    <row r="34">
      <c r="A34" s="94"/>
      <c r="B34" s="71"/>
      <c r="C34" s="71"/>
      <c r="D34" s="71"/>
      <c r="E34" s="71"/>
      <c r="F34" s="71"/>
      <c r="G34" s="71"/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5.13"/>
    <col customWidth="1" min="2" max="4" width="40.13"/>
  </cols>
  <sheetData>
    <row r="1">
      <c r="A1" s="99" t="s">
        <v>57</v>
      </c>
      <c r="B1" s="66" t="s">
        <v>147</v>
      </c>
      <c r="C1" s="66" t="s">
        <v>148</v>
      </c>
      <c r="D1" s="100" t="s">
        <v>149</v>
      </c>
    </row>
    <row r="2">
      <c r="A2" s="2"/>
      <c r="B2" s="2"/>
      <c r="C2" s="2"/>
      <c r="D2" s="2"/>
    </row>
    <row r="3">
      <c r="A3" s="2"/>
      <c r="B3" s="2"/>
      <c r="C3" s="2"/>
      <c r="D3" s="2"/>
    </row>
    <row r="4">
      <c r="A4" s="2"/>
      <c r="B4" s="2"/>
      <c r="C4" s="2"/>
      <c r="D4" s="2"/>
    </row>
    <row r="5">
      <c r="A5" s="2"/>
      <c r="B5" s="2"/>
      <c r="C5" s="2"/>
      <c r="D5" s="2"/>
    </row>
    <row r="6">
      <c r="A6" s="2"/>
      <c r="B6" s="2"/>
      <c r="C6" s="2"/>
      <c r="D6" s="2"/>
    </row>
    <row r="7">
      <c r="A7" s="2"/>
      <c r="B7" s="2"/>
      <c r="C7" s="2"/>
      <c r="D7" s="2"/>
    </row>
    <row r="8">
      <c r="A8" s="2"/>
      <c r="B8" s="2"/>
      <c r="C8" s="2"/>
      <c r="D8" s="2"/>
    </row>
    <row r="9">
      <c r="A9" s="2"/>
      <c r="B9" s="2"/>
      <c r="C9" s="2"/>
      <c r="D9" s="2"/>
    </row>
    <row r="10">
      <c r="A10" s="2"/>
      <c r="B10" s="2"/>
      <c r="C10" s="2"/>
      <c r="D10" s="2"/>
    </row>
    <row r="11">
      <c r="A11" s="2"/>
      <c r="B11" s="2"/>
      <c r="C11" s="2"/>
      <c r="D11" s="2"/>
    </row>
    <row r="12">
      <c r="A12" s="2"/>
      <c r="B12" s="2"/>
      <c r="C12" s="2"/>
      <c r="D12" s="2"/>
    </row>
    <row r="13">
      <c r="A13" s="2"/>
      <c r="B13" s="2"/>
      <c r="C13" s="2"/>
      <c r="D13" s="2"/>
    </row>
    <row r="14">
      <c r="A14" s="2"/>
      <c r="B14" s="2"/>
      <c r="C14" s="2"/>
      <c r="D14" s="2"/>
    </row>
    <row r="15">
      <c r="A15" s="2"/>
      <c r="B15" s="2"/>
      <c r="C15" s="2"/>
      <c r="D15" s="2"/>
    </row>
    <row r="16">
      <c r="A16" s="2"/>
      <c r="B16" s="2"/>
      <c r="C16" s="2"/>
      <c r="D16" s="2"/>
    </row>
    <row r="17">
      <c r="A17" s="2"/>
      <c r="B17" s="2"/>
      <c r="C17" s="2"/>
      <c r="D17" s="2"/>
    </row>
    <row r="18">
      <c r="A18" s="2"/>
      <c r="B18" s="2"/>
      <c r="C18" s="2"/>
      <c r="D18" s="2"/>
    </row>
    <row r="19">
      <c r="A19" s="2"/>
      <c r="B19" s="2"/>
      <c r="C19" s="2"/>
      <c r="D19" s="2"/>
    </row>
    <row r="20">
      <c r="A20" s="2"/>
      <c r="B20" s="2"/>
      <c r="C20" s="2"/>
      <c r="D20" s="2"/>
    </row>
  </sheetData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25.13"/>
    <col customWidth="1" min="2" max="2" width="100.13"/>
  </cols>
  <sheetData>
    <row r="1">
      <c r="A1" s="3" t="s">
        <v>150</v>
      </c>
      <c r="B1" s="3" t="s">
        <v>151</v>
      </c>
    </row>
    <row r="2">
      <c r="A2" s="2"/>
      <c r="B2" s="2"/>
    </row>
    <row r="3">
      <c r="A3" s="2"/>
      <c r="B3" s="2"/>
    </row>
    <row r="4">
      <c r="A4" s="2"/>
      <c r="B4" s="2"/>
    </row>
    <row r="5">
      <c r="A5" s="2"/>
      <c r="B5" s="2"/>
    </row>
    <row r="6">
      <c r="A6" s="2"/>
      <c r="B6" s="2"/>
    </row>
    <row r="7">
      <c r="A7" s="2"/>
      <c r="B7" s="2"/>
    </row>
    <row r="8">
      <c r="A8" s="2"/>
      <c r="B8" s="2"/>
    </row>
    <row r="9">
      <c r="A9" s="2"/>
      <c r="B9" s="2"/>
    </row>
    <row r="10">
      <c r="A10" s="2"/>
      <c r="B10" s="2"/>
    </row>
    <row r="11">
      <c r="A11" s="2"/>
      <c r="B11" s="2"/>
    </row>
    <row r="12">
      <c r="A12" s="2"/>
      <c r="B12" s="2"/>
    </row>
    <row r="13">
      <c r="A13" s="2"/>
      <c r="B13" s="2"/>
    </row>
    <row r="14">
      <c r="A14" s="2"/>
      <c r="B14" s="2"/>
    </row>
    <row r="15">
      <c r="A15" s="2"/>
      <c r="B15" s="2"/>
    </row>
    <row r="16">
      <c r="A16" s="2"/>
      <c r="B16" s="2"/>
    </row>
    <row r="17">
      <c r="A17" s="2"/>
      <c r="B17" s="2"/>
    </row>
    <row r="18">
      <c r="A18" s="2"/>
      <c r="B18" s="2"/>
    </row>
    <row r="19">
      <c r="A19" s="2"/>
      <c r="B19" s="2"/>
    </row>
    <row r="20">
      <c r="A20" s="2"/>
      <c r="B20" s="2"/>
    </row>
  </sheetData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6.38"/>
    <col customWidth="1" min="2" max="2" width="25.13"/>
    <col customWidth="1" min="3" max="3" width="37.63"/>
    <col customWidth="1" min="4" max="4" width="9.5"/>
    <col customWidth="1" min="5" max="5" width="12.63"/>
    <col customWidth="1" min="6" max="6" width="37.63"/>
  </cols>
  <sheetData>
    <row r="1">
      <c r="A1" s="26" t="s">
        <v>57</v>
      </c>
      <c r="B1" s="3" t="s">
        <v>152</v>
      </c>
      <c r="C1" s="3" t="s">
        <v>153</v>
      </c>
      <c r="D1" s="3" t="s">
        <v>154</v>
      </c>
      <c r="E1" s="3" t="s">
        <v>155</v>
      </c>
      <c r="F1" s="3" t="s">
        <v>64</v>
      </c>
    </row>
    <row r="2">
      <c r="A2" s="101">
        <v>1.0</v>
      </c>
      <c r="B2" s="102" t="s">
        <v>156</v>
      </c>
      <c r="C2" s="102" t="s">
        <v>157</v>
      </c>
      <c r="D2" s="102" t="s">
        <v>158</v>
      </c>
      <c r="E2" s="103" t="s">
        <v>159</v>
      </c>
      <c r="F2" s="102" t="s">
        <v>160</v>
      </c>
    </row>
    <row r="3">
      <c r="A3" s="101">
        <v>2.0</v>
      </c>
      <c r="B3" s="102" t="s">
        <v>156</v>
      </c>
      <c r="C3" s="102" t="s">
        <v>161</v>
      </c>
      <c r="D3" s="62" t="s">
        <v>162</v>
      </c>
      <c r="E3" s="103" t="s">
        <v>163</v>
      </c>
      <c r="F3" s="102" t="s">
        <v>164</v>
      </c>
    </row>
    <row r="4">
      <c r="A4" s="101">
        <v>3.0</v>
      </c>
      <c r="B4" s="102" t="s">
        <v>165</v>
      </c>
      <c r="C4" s="102" t="s">
        <v>166</v>
      </c>
      <c r="D4" s="102" t="s">
        <v>167</v>
      </c>
      <c r="E4" s="103" t="s">
        <v>163</v>
      </c>
      <c r="F4" s="102" t="s">
        <v>168</v>
      </c>
    </row>
    <row r="5">
      <c r="A5" s="104">
        <v>4.0</v>
      </c>
      <c r="B5" s="105" t="s">
        <v>169</v>
      </c>
      <c r="C5" s="105" t="s">
        <v>170</v>
      </c>
      <c r="D5" s="105" t="s">
        <v>171</v>
      </c>
      <c r="E5" s="105" t="s">
        <v>163</v>
      </c>
      <c r="F5" s="12" t="s">
        <v>172</v>
      </c>
    </row>
    <row r="6">
      <c r="A6" s="104">
        <v>5.0</v>
      </c>
      <c r="B6" s="105" t="s">
        <v>169</v>
      </c>
      <c r="C6" s="105" t="s">
        <v>173</v>
      </c>
      <c r="D6" s="105" t="s">
        <v>171</v>
      </c>
      <c r="E6" s="105" t="s">
        <v>163</v>
      </c>
      <c r="F6" s="12" t="s">
        <v>174</v>
      </c>
    </row>
    <row r="7">
      <c r="A7" s="104">
        <v>6.0</v>
      </c>
      <c r="B7" s="105" t="s">
        <v>169</v>
      </c>
      <c r="C7" s="105" t="s">
        <v>175</v>
      </c>
      <c r="D7" s="105" t="s">
        <v>176</v>
      </c>
      <c r="E7" s="105" t="s">
        <v>163</v>
      </c>
      <c r="F7" s="12" t="s">
        <v>177</v>
      </c>
    </row>
    <row r="8">
      <c r="A8" s="104">
        <v>7.0</v>
      </c>
      <c r="B8" s="105" t="s">
        <v>169</v>
      </c>
      <c r="C8" s="105" t="s">
        <v>178</v>
      </c>
      <c r="D8" s="105" t="s">
        <v>176</v>
      </c>
      <c r="E8" s="105" t="s">
        <v>163</v>
      </c>
      <c r="F8" s="105" t="s">
        <v>179</v>
      </c>
    </row>
    <row r="9">
      <c r="A9" s="104">
        <v>8.0</v>
      </c>
      <c r="B9" s="105" t="s">
        <v>169</v>
      </c>
      <c r="C9" s="105" t="s">
        <v>180</v>
      </c>
      <c r="D9" s="105" t="s">
        <v>176</v>
      </c>
      <c r="E9" s="105" t="s">
        <v>163</v>
      </c>
      <c r="F9" s="105" t="s">
        <v>181</v>
      </c>
    </row>
    <row r="10">
      <c r="A10" s="104">
        <v>9.0</v>
      </c>
      <c r="B10" s="105" t="s">
        <v>169</v>
      </c>
      <c r="C10" s="105" t="s">
        <v>182</v>
      </c>
      <c r="D10" s="105" t="s">
        <v>176</v>
      </c>
      <c r="E10" s="105" t="s">
        <v>163</v>
      </c>
      <c r="F10" s="105" t="s">
        <v>183</v>
      </c>
    </row>
    <row r="11">
      <c r="A11" s="104">
        <v>10.0</v>
      </c>
      <c r="B11" s="105" t="s">
        <v>169</v>
      </c>
      <c r="C11" s="105" t="s">
        <v>184</v>
      </c>
      <c r="D11" s="105" t="s">
        <v>171</v>
      </c>
      <c r="E11" s="105" t="s">
        <v>163</v>
      </c>
      <c r="F11" s="105" t="s">
        <v>185</v>
      </c>
    </row>
    <row r="12">
      <c r="A12" s="104">
        <v>11.0</v>
      </c>
      <c r="B12" s="105" t="s">
        <v>169</v>
      </c>
      <c r="C12" s="105" t="s">
        <v>186</v>
      </c>
      <c r="D12" s="105" t="s">
        <v>171</v>
      </c>
      <c r="E12" s="105" t="s">
        <v>163</v>
      </c>
      <c r="F12" s="105" t="s">
        <v>187</v>
      </c>
    </row>
    <row r="13">
      <c r="A13" s="104">
        <v>12.0</v>
      </c>
      <c r="B13" s="105" t="s">
        <v>169</v>
      </c>
      <c r="C13" s="105" t="s">
        <v>188</v>
      </c>
      <c r="D13" s="105" t="s">
        <v>189</v>
      </c>
      <c r="E13" s="105" t="s">
        <v>190</v>
      </c>
      <c r="F13" s="105" t="s">
        <v>191</v>
      </c>
    </row>
    <row r="14">
      <c r="A14" s="104">
        <v>13.0</v>
      </c>
      <c r="B14" s="105" t="s">
        <v>169</v>
      </c>
      <c r="C14" s="105" t="s">
        <v>192</v>
      </c>
      <c r="D14" s="105" t="s">
        <v>189</v>
      </c>
      <c r="E14" s="105" t="s">
        <v>190</v>
      </c>
      <c r="F14" s="105" t="s">
        <v>193</v>
      </c>
    </row>
    <row r="15">
      <c r="A15" s="104">
        <v>14.0</v>
      </c>
      <c r="B15" s="105" t="s">
        <v>169</v>
      </c>
      <c r="C15" s="105" t="s">
        <v>194</v>
      </c>
      <c r="D15" s="105" t="s">
        <v>195</v>
      </c>
      <c r="E15" s="105" t="s">
        <v>163</v>
      </c>
      <c r="F15" s="105" t="s">
        <v>196</v>
      </c>
    </row>
    <row r="16">
      <c r="A16" s="104">
        <v>15.0</v>
      </c>
      <c r="B16" s="105" t="s">
        <v>169</v>
      </c>
      <c r="C16" s="105" t="s">
        <v>197</v>
      </c>
      <c r="D16" s="105" t="s">
        <v>198</v>
      </c>
      <c r="E16" s="105" t="s">
        <v>199</v>
      </c>
      <c r="F16" s="105" t="s">
        <v>200</v>
      </c>
    </row>
    <row r="17">
      <c r="A17" s="104">
        <v>16.0</v>
      </c>
      <c r="B17" s="105" t="s">
        <v>169</v>
      </c>
      <c r="C17" s="105" t="s">
        <v>201</v>
      </c>
      <c r="D17" s="105" t="s">
        <v>202</v>
      </c>
      <c r="E17" s="105" t="s">
        <v>203</v>
      </c>
      <c r="F17" s="105" t="s">
        <v>204</v>
      </c>
    </row>
    <row r="18">
      <c r="A18" s="104">
        <v>17.0</v>
      </c>
      <c r="B18" s="105" t="s">
        <v>169</v>
      </c>
      <c r="C18" s="105" t="s">
        <v>205</v>
      </c>
      <c r="D18" s="105" t="s">
        <v>176</v>
      </c>
      <c r="E18" s="105" t="s">
        <v>163</v>
      </c>
      <c r="F18" s="105" t="s">
        <v>206</v>
      </c>
    </row>
    <row r="19">
      <c r="A19" s="104">
        <v>18.0</v>
      </c>
      <c r="B19" s="105" t="s">
        <v>169</v>
      </c>
      <c r="C19" s="105" t="s">
        <v>207</v>
      </c>
      <c r="D19" s="105" t="s">
        <v>176</v>
      </c>
      <c r="E19" s="105" t="s">
        <v>163</v>
      </c>
      <c r="F19" s="105" t="s">
        <v>208</v>
      </c>
    </row>
    <row r="20">
      <c r="A20" s="104">
        <v>19.0</v>
      </c>
      <c r="B20" s="105" t="s">
        <v>169</v>
      </c>
      <c r="C20" s="105" t="s">
        <v>209</v>
      </c>
      <c r="D20" s="104">
        <v>2.4</v>
      </c>
      <c r="E20" s="105" t="s">
        <v>163</v>
      </c>
      <c r="F20" s="105" t="s">
        <v>210</v>
      </c>
    </row>
    <row r="21">
      <c r="A21" s="104">
        <v>20.0</v>
      </c>
      <c r="B21" s="105" t="s">
        <v>169</v>
      </c>
      <c r="C21" s="105" t="s">
        <v>211</v>
      </c>
      <c r="D21" s="105" t="s">
        <v>212</v>
      </c>
      <c r="E21" s="105" t="s">
        <v>163</v>
      </c>
      <c r="F21" s="105" t="s">
        <v>213</v>
      </c>
    </row>
    <row r="22">
      <c r="A22" s="104">
        <v>21.0</v>
      </c>
      <c r="B22" s="105" t="s">
        <v>169</v>
      </c>
      <c r="C22" s="105" t="s">
        <v>214</v>
      </c>
      <c r="D22" s="105" t="s">
        <v>212</v>
      </c>
      <c r="E22" s="105" t="s">
        <v>163</v>
      </c>
      <c r="F22" s="105" t="s">
        <v>215</v>
      </c>
    </row>
    <row r="23">
      <c r="A23" s="104">
        <v>22.0</v>
      </c>
      <c r="B23" s="105" t="s">
        <v>169</v>
      </c>
      <c r="C23" s="105" t="s">
        <v>216</v>
      </c>
      <c r="D23" s="105" t="s">
        <v>212</v>
      </c>
      <c r="E23" s="105" t="s">
        <v>163</v>
      </c>
      <c r="F23" s="105" t="s">
        <v>217</v>
      </c>
    </row>
    <row r="24">
      <c r="A24" s="104">
        <v>23.0</v>
      </c>
      <c r="B24" s="105" t="s">
        <v>169</v>
      </c>
      <c r="C24" s="105" t="s">
        <v>218</v>
      </c>
      <c r="D24" s="105" t="s">
        <v>219</v>
      </c>
      <c r="E24" s="105" t="s">
        <v>220</v>
      </c>
      <c r="F24" s="105" t="s">
        <v>221</v>
      </c>
    </row>
    <row r="25">
      <c r="A25" s="104">
        <v>24.0</v>
      </c>
      <c r="B25" s="105" t="s">
        <v>169</v>
      </c>
      <c r="C25" s="105" t="s">
        <v>222</v>
      </c>
      <c r="D25" s="105" t="s">
        <v>223</v>
      </c>
      <c r="E25" s="105" t="s">
        <v>220</v>
      </c>
      <c r="F25" s="105" t="s">
        <v>224</v>
      </c>
    </row>
    <row r="26">
      <c r="A26" s="104">
        <v>25.0</v>
      </c>
      <c r="B26" s="105" t="s">
        <v>169</v>
      </c>
      <c r="C26" s="105" t="s">
        <v>225</v>
      </c>
      <c r="D26" s="105" t="s">
        <v>212</v>
      </c>
      <c r="E26" s="105" t="s">
        <v>163</v>
      </c>
      <c r="F26" s="105" t="s">
        <v>226</v>
      </c>
    </row>
    <row r="27">
      <c r="A27" s="104">
        <v>26.0</v>
      </c>
      <c r="B27" s="105" t="s">
        <v>169</v>
      </c>
      <c r="C27" s="105" t="s">
        <v>227</v>
      </c>
      <c r="D27" s="105" t="s">
        <v>228</v>
      </c>
      <c r="E27" s="105" t="s">
        <v>163</v>
      </c>
      <c r="F27" s="105" t="s">
        <v>229</v>
      </c>
    </row>
    <row r="28">
      <c r="A28" s="104">
        <v>27.0</v>
      </c>
      <c r="B28" s="105" t="s">
        <v>169</v>
      </c>
      <c r="C28" s="105" t="s">
        <v>230</v>
      </c>
      <c r="D28" s="105" t="s">
        <v>228</v>
      </c>
      <c r="E28" s="105" t="s">
        <v>163</v>
      </c>
      <c r="F28" s="105" t="s">
        <v>231</v>
      </c>
    </row>
    <row r="29">
      <c r="A29" s="104">
        <v>28.0</v>
      </c>
      <c r="B29" s="105" t="s">
        <v>169</v>
      </c>
      <c r="C29" s="105" t="s">
        <v>232</v>
      </c>
      <c r="D29" s="105" t="s">
        <v>228</v>
      </c>
      <c r="E29" s="105" t="s">
        <v>163</v>
      </c>
      <c r="F29" s="105" t="s">
        <v>233</v>
      </c>
    </row>
    <row r="30">
      <c r="A30" s="104">
        <v>29.0</v>
      </c>
      <c r="B30" s="105" t="s">
        <v>169</v>
      </c>
      <c r="C30" s="105" t="s">
        <v>234</v>
      </c>
      <c r="D30" s="105" t="s">
        <v>228</v>
      </c>
      <c r="E30" s="105" t="s">
        <v>163</v>
      </c>
      <c r="F30" s="105" t="s">
        <v>235</v>
      </c>
    </row>
    <row r="31">
      <c r="A31" s="104">
        <v>30.0</v>
      </c>
      <c r="B31" s="105" t="s">
        <v>169</v>
      </c>
      <c r="C31" s="105" t="s">
        <v>236</v>
      </c>
      <c r="D31" s="105" t="s">
        <v>228</v>
      </c>
      <c r="E31" s="105" t="s">
        <v>163</v>
      </c>
      <c r="F31" s="105" t="s">
        <v>237</v>
      </c>
    </row>
    <row r="32">
      <c r="A32" s="104">
        <v>31.0</v>
      </c>
      <c r="B32" s="105" t="s">
        <v>169</v>
      </c>
      <c r="C32" s="105" t="s">
        <v>238</v>
      </c>
      <c r="D32" s="105" t="s">
        <v>228</v>
      </c>
      <c r="E32" s="105" t="s">
        <v>163</v>
      </c>
      <c r="F32" s="105" t="s">
        <v>239</v>
      </c>
    </row>
    <row r="33">
      <c r="A33" s="104">
        <v>32.0</v>
      </c>
      <c r="B33" s="105" t="s">
        <v>169</v>
      </c>
      <c r="C33" s="105" t="s">
        <v>240</v>
      </c>
      <c r="D33" s="105" t="s">
        <v>241</v>
      </c>
      <c r="E33" s="105" t="s">
        <v>199</v>
      </c>
      <c r="F33" s="105" t="s">
        <v>242</v>
      </c>
    </row>
    <row r="34">
      <c r="A34" s="104">
        <v>33.0</v>
      </c>
      <c r="B34" s="105" t="s">
        <v>169</v>
      </c>
      <c r="C34" s="105" t="s">
        <v>243</v>
      </c>
      <c r="D34" s="105" t="s">
        <v>244</v>
      </c>
      <c r="E34" s="105" t="s">
        <v>163</v>
      </c>
      <c r="F34" s="105" t="s">
        <v>245</v>
      </c>
    </row>
    <row r="35">
      <c r="A35" s="104">
        <v>34.0</v>
      </c>
      <c r="B35" s="105" t="s">
        <v>169</v>
      </c>
      <c r="C35" s="105" t="s">
        <v>246</v>
      </c>
      <c r="D35" s="105" t="s">
        <v>244</v>
      </c>
      <c r="E35" s="105" t="s">
        <v>163</v>
      </c>
      <c r="F35" s="105" t="s">
        <v>247</v>
      </c>
    </row>
    <row r="36">
      <c r="A36" s="104">
        <v>35.0</v>
      </c>
      <c r="B36" s="105" t="s">
        <v>169</v>
      </c>
      <c r="C36" s="105" t="s">
        <v>248</v>
      </c>
      <c r="D36" s="105" t="s">
        <v>244</v>
      </c>
      <c r="E36" s="105" t="s">
        <v>163</v>
      </c>
      <c r="F36" s="105" t="s">
        <v>249</v>
      </c>
    </row>
    <row r="37">
      <c r="A37" s="104">
        <v>36.0</v>
      </c>
      <c r="B37" s="105" t="s">
        <v>169</v>
      </c>
      <c r="C37" s="105" t="s">
        <v>250</v>
      </c>
      <c r="D37" s="105" t="s">
        <v>244</v>
      </c>
      <c r="E37" s="105" t="s">
        <v>163</v>
      </c>
      <c r="F37" s="105" t="s">
        <v>251</v>
      </c>
    </row>
    <row r="38">
      <c r="A38" s="104">
        <v>37.0</v>
      </c>
      <c r="B38" s="105" t="s">
        <v>169</v>
      </c>
      <c r="C38" s="105" t="s">
        <v>252</v>
      </c>
      <c r="D38" s="105" t="s">
        <v>244</v>
      </c>
      <c r="E38" s="105" t="s">
        <v>163</v>
      </c>
      <c r="F38" s="105" t="s">
        <v>253</v>
      </c>
    </row>
    <row r="39">
      <c r="A39" s="104">
        <v>38.0</v>
      </c>
      <c r="B39" s="105" t="s">
        <v>169</v>
      </c>
      <c r="C39" s="105" t="s">
        <v>254</v>
      </c>
      <c r="D39" s="105" t="s">
        <v>255</v>
      </c>
      <c r="E39" s="105" t="s">
        <v>256</v>
      </c>
      <c r="F39" s="105" t="s">
        <v>257</v>
      </c>
    </row>
    <row r="40">
      <c r="A40" s="104">
        <v>39.0</v>
      </c>
      <c r="B40" s="105" t="s">
        <v>169</v>
      </c>
      <c r="C40" s="105" t="s">
        <v>258</v>
      </c>
      <c r="D40" s="105" t="s">
        <v>244</v>
      </c>
      <c r="E40" s="105" t="s">
        <v>163</v>
      </c>
      <c r="F40" s="105" t="s">
        <v>259</v>
      </c>
    </row>
    <row r="41">
      <c r="A41" s="104">
        <v>40.0</v>
      </c>
      <c r="B41" s="105" t="s">
        <v>169</v>
      </c>
      <c r="C41" s="105" t="s">
        <v>260</v>
      </c>
      <c r="D41" s="105" t="s">
        <v>244</v>
      </c>
      <c r="E41" s="105" t="s">
        <v>163</v>
      </c>
      <c r="F41" s="105" t="s">
        <v>261</v>
      </c>
    </row>
    <row r="42">
      <c r="A42" s="104">
        <v>41.0</v>
      </c>
      <c r="B42" s="105" t="s">
        <v>169</v>
      </c>
      <c r="C42" s="105" t="s">
        <v>262</v>
      </c>
      <c r="D42" s="105" t="s">
        <v>263</v>
      </c>
      <c r="E42" s="105" t="s">
        <v>163</v>
      </c>
      <c r="F42" s="105" t="s">
        <v>264</v>
      </c>
    </row>
    <row r="43">
      <c r="A43" s="104">
        <v>42.0</v>
      </c>
      <c r="B43" s="105" t="s">
        <v>169</v>
      </c>
      <c r="C43" s="105" t="s">
        <v>265</v>
      </c>
      <c r="D43" s="105" t="s">
        <v>263</v>
      </c>
      <c r="E43" s="105" t="s">
        <v>163</v>
      </c>
      <c r="F43" s="105" t="s">
        <v>266</v>
      </c>
    </row>
    <row r="44">
      <c r="A44" s="104">
        <v>43.0</v>
      </c>
      <c r="B44" s="105" t="s">
        <v>169</v>
      </c>
      <c r="C44" s="105" t="s">
        <v>267</v>
      </c>
      <c r="D44" s="105" t="s">
        <v>244</v>
      </c>
      <c r="E44" s="105" t="s">
        <v>163</v>
      </c>
      <c r="F44" s="105" t="s">
        <v>268</v>
      </c>
    </row>
    <row r="45">
      <c r="A45" s="104">
        <v>44.0</v>
      </c>
      <c r="B45" s="105" t="s">
        <v>169</v>
      </c>
      <c r="C45" s="105" t="s">
        <v>269</v>
      </c>
      <c r="D45" s="105" t="s">
        <v>244</v>
      </c>
      <c r="E45" s="105" t="s">
        <v>163</v>
      </c>
      <c r="F45" s="105" t="s">
        <v>270</v>
      </c>
    </row>
    <row r="46">
      <c r="A46" s="104">
        <v>45.0</v>
      </c>
      <c r="B46" s="105" t="s">
        <v>169</v>
      </c>
      <c r="C46" s="105" t="s">
        <v>271</v>
      </c>
      <c r="D46" s="105" t="s">
        <v>272</v>
      </c>
      <c r="E46" s="105" t="s">
        <v>163</v>
      </c>
      <c r="F46" s="105" t="s">
        <v>273</v>
      </c>
    </row>
    <row r="47">
      <c r="A47" s="104">
        <v>46.0</v>
      </c>
      <c r="B47" s="105" t="s">
        <v>169</v>
      </c>
      <c r="C47" s="105" t="s">
        <v>274</v>
      </c>
      <c r="D47" s="105" t="s">
        <v>272</v>
      </c>
      <c r="E47" s="105" t="s">
        <v>163</v>
      </c>
      <c r="F47" s="105" t="s">
        <v>275</v>
      </c>
    </row>
    <row r="48">
      <c r="A48" s="104">
        <v>47.0</v>
      </c>
      <c r="B48" s="105" t="s">
        <v>169</v>
      </c>
      <c r="C48" s="105" t="s">
        <v>276</v>
      </c>
      <c r="D48" s="105" t="s">
        <v>272</v>
      </c>
      <c r="E48" s="105" t="s">
        <v>163</v>
      </c>
      <c r="F48" s="105" t="s">
        <v>277</v>
      </c>
    </row>
    <row r="49">
      <c r="A49" s="104">
        <v>48.0</v>
      </c>
      <c r="B49" s="105" t="s">
        <v>169</v>
      </c>
      <c r="C49" s="105" t="s">
        <v>278</v>
      </c>
      <c r="D49" s="105" t="s">
        <v>272</v>
      </c>
      <c r="E49" s="105" t="s">
        <v>163</v>
      </c>
      <c r="F49" s="105" t="s">
        <v>279</v>
      </c>
    </row>
    <row r="50">
      <c r="A50" s="104">
        <v>49.0</v>
      </c>
      <c r="B50" s="105" t="s">
        <v>169</v>
      </c>
      <c r="C50" s="105" t="s">
        <v>280</v>
      </c>
      <c r="D50" s="105" t="s">
        <v>272</v>
      </c>
      <c r="E50" s="105" t="s">
        <v>163</v>
      </c>
      <c r="F50" s="105" t="s">
        <v>281</v>
      </c>
    </row>
    <row r="51">
      <c r="A51" s="104">
        <v>50.0</v>
      </c>
      <c r="B51" s="105" t="s">
        <v>169</v>
      </c>
      <c r="C51" s="105" t="s">
        <v>282</v>
      </c>
      <c r="D51" s="105" t="s">
        <v>272</v>
      </c>
      <c r="E51" s="105" t="s">
        <v>163</v>
      </c>
      <c r="F51" s="105" t="s">
        <v>283</v>
      </c>
    </row>
    <row r="52">
      <c r="A52" s="104">
        <v>51.0</v>
      </c>
      <c r="B52" s="105" t="s">
        <v>169</v>
      </c>
      <c r="C52" s="105" t="s">
        <v>284</v>
      </c>
      <c r="D52" s="105" t="s">
        <v>272</v>
      </c>
      <c r="E52" s="105" t="s">
        <v>163</v>
      </c>
      <c r="F52" s="105" t="s">
        <v>285</v>
      </c>
    </row>
    <row r="53">
      <c r="A53" s="104">
        <v>52.0</v>
      </c>
      <c r="B53" s="105" t="s">
        <v>169</v>
      </c>
      <c r="C53" s="105" t="s">
        <v>286</v>
      </c>
      <c r="D53" s="105" t="s">
        <v>272</v>
      </c>
      <c r="E53" s="105" t="s">
        <v>163</v>
      </c>
      <c r="F53" s="105" t="s">
        <v>287</v>
      </c>
    </row>
    <row r="54">
      <c r="A54" s="104">
        <v>53.0</v>
      </c>
      <c r="B54" s="105" t="s">
        <v>169</v>
      </c>
      <c r="C54" s="105" t="s">
        <v>288</v>
      </c>
      <c r="D54" s="105" t="s">
        <v>272</v>
      </c>
      <c r="E54" s="105" t="s">
        <v>163</v>
      </c>
      <c r="F54" s="105" t="s">
        <v>289</v>
      </c>
    </row>
    <row r="55">
      <c r="A55" s="104">
        <v>54.0</v>
      </c>
      <c r="B55" s="105" t="s">
        <v>169</v>
      </c>
      <c r="C55" s="105" t="s">
        <v>290</v>
      </c>
      <c r="D55" s="105" t="s">
        <v>272</v>
      </c>
      <c r="E55" s="105" t="s">
        <v>163</v>
      </c>
      <c r="F55" s="105" t="s">
        <v>291</v>
      </c>
    </row>
    <row r="56">
      <c r="A56" s="104">
        <v>55.0</v>
      </c>
      <c r="B56" s="105" t="s">
        <v>169</v>
      </c>
      <c r="C56" s="105" t="s">
        <v>292</v>
      </c>
      <c r="D56" s="105" t="s">
        <v>272</v>
      </c>
      <c r="E56" s="105" t="s">
        <v>163</v>
      </c>
      <c r="F56" s="105" t="s">
        <v>293</v>
      </c>
    </row>
    <row r="57">
      <c r="A57" s="104">
        <v>56.0</v>
      </c>
      <c r="B57" s="105" t="s">
        <v>169</v>
      </c>
      <c r="C57" s="105" t="s">
        <v>294</v>
      </c>
      <c r="D57" s="105" t="s">
        <v>272</v>
      </c>
      <c r="E57" s="105" t="s">
        <v>163</v>
      </c>
      <c r="F57" s="105" t="s">
        <v>295</v>
      </c>
    </row>
    <row r="58">
      <c r="A58" s="104">
        <v>57.0</v>
      </c>
      <c r="B58" s="105" t="s">
        <v>169</v>
      </c>
      <c r="C58" s="105" t="s">
        <v>296</v>
      </c>
      <c r="D58" s="105" t="s">
        <v>272</v>
      </c>
      <c r="E58" s="105" t="s">
        <v>163</v>
      </c>
      <c r="F58" s="105" t="s">
        <v>297</v>
      </c>
    </row>
    <row r="59">
      <c r="A59" s="104">
        <v>58.0</v>
      </c>
      <c r="B59" s="105" t="s">
        <v>169</v>
      </c>
      <c r="C59" s="105" t="s">
        <v>298</v>
      </c>
      <c r="D59" s="105" t="s">
        <v>272</v>
      </c>
      <c r="E59" s="105" t="s">
        <v>163</v>
      </c>
      <c r="F59" s="105" t="s">
        <v>299</v>
      </c>
    </row>
    <row r="60">
      <c r="A60" s="104">
        <v>59.0</v>
      </c>
      <c r="B60" s="105" t="s">
        <v>169</v>
      </c>
      <c r="C60" s="105" t="s">
        <v>300</v>
      </c>
      <c r="D60" s="105" t="s">
        <v>244</v>
      </c>
      <c r="E60" s="105" t="s">
        <v>163</v>
      </c>
      <c r="F60" s="105" t="s">
        <v>301</v>
      </c>
    </row>
    <row r="61">
      <c r="A61" s="104">
        <v>60.0</v>
      </c>
      <c r="B61" s="105" t="s">
        <v>169</v>
      </c>
      <c r="C61" s="105" t="s">
        <v>302</v>
      </c>
      <c r="D61" s="105" t="s">
        <v>303</v>
      </c>
      <c r="E61" s="105" t="s">
        <v>199</v>
      </c>
      <c r="F61" s="105" t="s">
        <v>304</v>
      </c>
    </row>
    <row r="62">
      <c r="A62" s="104">
        <v>61.0</v>
      </c>
      <c r="B62" s="105" t="s">
        <v>169</v>
      </c>
      <c r="C62" s="105" t="s">
        <v>305</v>
      </c>
      <c r="D62" s="105" t="s">
        <v>306</v>
      </c>
      <c r="E62" s="105" t="s">
        <v>163</v>
      </c>
      <c r="F62" s="105" t="s">
        <v>307</v>
      </c>
    </row>
    <row r="63">
      <c r="A63" s="104">
        <v>62.0</v>
      </c>
      <c r="B63" s="105" t="s">
        <v>169</v>
      </c>
      <c r="C63" s="105" t="s">
        <v>308</v>
      </c>
      <c r="D63" s="104">
        <v>3.2</v>
      </c>
      <c r="E63" s="105" t="s">
        <v>163</v>
      </c>
      <c r="F63" s="105" t="s">
        <v>309</v>
      </c>
    </row>
    <row r="64">
      <c r="A64" s="104">
        <v>63.0</v>
      </c>
      <c r="B64" s="105" t="s">
        <v>169</v>
      </c>
      <c r="C64" s="105" t="s">
        <v>310</v>
      </c>
      <c r="D64" s="105" t="s">
        <v>195</v>
      </c>
      <c r="E64" s="105" t="s">
        <v>163</v>
      </c>
      <c r="F64" s="105" t="s">
        <v>311</v>
      </c>
    </row>
    <row r="65">
      <c r="A65" s="104">
        <v>64.0</v>
      </c>
      <c r="B65" s="105" t="s">
        <v>169</v>
      </c>
      <c r="C65" s="105" t="s">
        <v>312</v>
      </c>
      <c r="D65" s="105" t="s">
        <v>195</v>
      </c>
      <c r="E65" s="105" t="s">
        <v>163</v>
      </c>
      <c r="F65" s="105" t="s">
        <v>313</v>
      </c>
    </row>
    <row r="66">
      <c r="A66" s="104">
        <v>65.0</v>
      </c>
      <c r="B66" s="105" t="s">
        <v>169</v>
      </c>
      <c r="C66" s="105" t="s">
        <v>314</v>
      </c>
      <c r="D66" s="105" t="s">
        <v>315</v>
      </c>
      <c r="E66" s="105" t="s">
        <v>316</v>
      </c>
      <c r="F66" s="105" t="s">
        <v>317</v>
      </c>
    </row>
    <row r="67">
      <c r="A67" s="104">
        <v>66.0</v>
      </c>
      <c r="B67" s="105" t="s">
        <v>169</v>
      </c>
      <c r="C67" s="105" t="s">
        <v>318</v>
      </c>
      <c r="D67" s="105" t="s">
        <v>319</v>
      </c>
      <c r="E67" s="105" t="s">
        <v>320</v>
      </c>
      <c r="F67" s="105" t="s">
        <v>321</v>
      </c>
    </row>
    <row r="68">
      <c r="A68" s="104">
        <v>67.0</v>
      </c>
      <c r="B68" s="105" t="s">
        <v>169</v>
      </c>
      <c r="C68" s="105" t="s">
        <v>322</v>
      </c>
      <c r="D68" s="105" t="s">
        <v>323</v>
      </c>
      <c r="E68" s="105" t="s">
        <v>163</v>
      </c>
      <c r="F68" s="105" t="s">
        <v>324</v>
      </c>
    </row>
    <row r="69">
      <c r="A69" s="104">
        <v>68.0</v>
      </c>
      <c r="B69" s="105" t="s">
        <v>169</v>
      </c>
      <c r="C69" s="105" t="s">
        <v>325</v>
      </c>
      <c r="D69" s="105" t="s">
        <v>326</v>
      </c>
      <c r="E69" s="105" t="s">
        <v>327</v>
      </c>
      <c r="F69" s="105" t="s">
        <v>328</v>
      </c>
    </row>
    <row r="70">
      <c r="A70" s="104">
        <v>69.0</v>
      </c>
      <c r="B70" s="105" t="s">
        <v>169</v>
      </c>
      <c r="C70" s="105" t="s">
        <v>329</v>
      </c>
      <c r="D70" s="105" t="s">
        <v>330</v>
      </c>
      <c r="E70" s="105" t="s">
        <v>331</v>
      </c>
      <c r="F70" s="105" t="s">
        <v>332</v>
      </c>
    </row>
    <row r="71">
      <c r="A71" s="104">
        <v>70.0</v>
      </c>
      <c r="B71" s="105" t="s">
        <v>169</v>
      </c>
      <c r="C71" s="105" t="s">
        <v>333</v>
      </c>
      <c r="D71" s="105" t="s">
        <v>244</v>
      </c>
      <c r="E71" s="105" t="s">
        <v>163</v>
      </c>
      <c r="F71" s="105" t="s">
        <v>334</v>
      </c>
    </row>
    <row r="72">
      <c r="A72" s="104">
        <v>71.0</v>
      </c>
      <c r="B72" s="105" t="s">
        <v>169</v>
      </c>
      <c r="C72" s="105" t="s">
        <v>335</v>
      </c>
      <c r="D72" s="105" t="s">
        <v>336</v>
      </c>
      <c r="E72" s="105" t="s">
        <v>163</v>
      </c>
      <c r="F72" s="105" t="s">
        <v>337</v>
      </c>
    </row>
    <row r="73">
      <c r="A73" s="104">
        <v>72.0</v>
      </c>
      <c r="B73" s="105" t="s">
        <v>169</v>
      </c>
      <c r="C73" s="105" t="s">
        <v>338</v>
      </c>
      <c r="D73" s="105" t="s">
        <v>339</v>
      </c>
      <c r="E73" s="105" t="s">
        <v>163</v>
      </c>
      <c r="F73" s="105" t="s">
        <v>340</v>
      </c>
    </row>
    <row r="74">
      <c r="A74" s="104">
        <v>73.0</v>
      </c>
      <c r="B74" s="105" t="s">
        <v>169</v>
      </c>
      <c r="C74" s="105" t="s">
        <v>341</v>
      </c>
      <c r="D74" s="105" t="s">
        <v>342</v>
      </c>
      <c r="E74" s="105" t="s">
        <v>163</v>
      </c>
      <c r="F74" s="105" t="s">
        <v>343</v>
      </c>
    </row>
    <row r="75">
      <c r="A75" s="104">
        <v>74.0</v>
      </c>
      <c r="B75" s="105" t="s">
        <v>169</v>
      </c>
      <c r="C75" s="105" t="s">
        <v>344</v>
      </c>
      <c r="D75" s="105" t="s">
        <v>339</v>
      </c>
      <c r="E75" s="105" t="s">
        <v>163</v>
      </c>
      <c r="F75" s="105" t="s">
        <v>345</v>
      </c>
    </row>
    <row r="76">
      <c r="A76" s="104">
        <v>75.0</v>
      </c>
      <c r="B76" s="105" t="s">
        <v>169</v>
      </c>
      <c r="C76" s="105" t="s">
        <v>346</v>
      </c>
      <c r="D76" s="105" t="s">
        <v>347</v>
      </c>
      <c r="E76" s="105" t="s">
        <v>163</v>
      </c>
      <c r="F76" s="105" t="s">
        <v>348</v>
      </c>
    </row>
    <row r="77">
      <c r="A77" s="104">
        <v>76.0</v>
      </c>
      <c r="B77" s="105" t="s">
        <v>169</v>
      </c>
      <c r="C77" s="105" t="s">
        <v>349</v>
      </c>
      <c r="D77" s="104">
        <v>1.2</v>
      </c>
      <c r="E77" s="105" t="s">
        <v>163</v>
      </c>
      <c r="F77" s="105" t="s">
        <v>350</v>
      </c>
    </row>
    <row r="78">
      <c r="A78" s="104">
        <v>77.0</v>
      </c>
      <c r="B78" s="105" t="s">
        <v>169</v>
      </c>
      <c r="C78" s="105" t="s">
        <v>351</v>
      </c>
      <c r="D78" s="105" t="s">
        <v>244</v>
      </c>
      <c r="E78" s="105" t="s">
        <v>163</v>
      </c>
      <c r="F78" s="105" t="s">
        <v>352</v>
      </c>
    </row>
    <row r="79">
      <c r="A79" s="104">
        <v>78.0</v>
      </c>
      <c r="B79" s="105" t="s">
        <v>169</v>
      </c>
      <c r="C79" s="105" t="s">
        <v>353</v>
      </c>
      <c r="D79" s="105" t="s">
        <v>244</v>
      </c>
      <c r="E79" s="105" t="s">
        <v>163</v>
      </c>
      <c r="F79" s="105" t="s">
        <v>354</v>
      </c>
    </row>
    <row r="80">
      <c r="A80" s="104">
        <v>79.0</v>
      </c>
      <c r="B80" s="105" t="s">
        <v>169</v>
      </c>
      <c r="C80" s="105" t="s">
        <v>355</v>
      </c>
      <c r="D80" s="105" t="s">
        <v>244</v>
      </c>
      <c r="E80" s="105" t="s">
        <v>163</v>
      </c>
      <c r="F80" s="105" t="s">
        <v>356</v>
      </c>
    </row>
    <row r="81">
      <c r="A81" s="104">
        <v>80.0</v>
      </c>
      <c r="B81" s="105" t="s">
        <v>169</v>
      </c>
      <c r="C81" s="105" t="s">
        <v>357</v>
      </c>
      <c r="D81" s="105" t="s">
        <v>244</v>
      </c>
      <c r="E81" s="105" t="s">
        <v>163</v>
      </c>
      <c r="F81" s="105" t="s">
        <v>358</v>
      </c>
    </row>
    <row r="82">
      <c r="A82" s="104">
        <v>81.0</v>
      </c>
      <c r="B82" s="105" t="s">
        <v>169</v>
      </c>
      <c r="C82" s="105" t="s">
        <v>359</v>
      </c>
      <c r="D82" s="105" t="s">
        <v>244</v>
      </c>
      <c r="E82" s="105" t="s">
        <v>163</v>
      </c>
      <c r="F82" s="105" t="s">
        <v>360</v>
      </c>
    </row>
    <row r="83">
      <c r="A83" s="104">
        <v>82.0</v>
      </c>
      <c r="B83" s="105" t="s">
        <v>169</v>
      </c>
      <c r="C83" s="105" t="s">
        <v>361</v>
      </c>
      <c r="D83" s="105" t="s">
        <v>362</v>
      </c>
      <c r="E83" s="105" t="s">
        <v>163</v>
      </c>
      <c r="F83" s="105" t="s">
        <v>363</v>
      </c>
    </row>
    <row r="84">
      <c r="A84" s="104">
        <v>83.0</v>
      </c>
      <c r="B84" s="105" t="s">
        <v>169</v>
      </c>
      <c r="C84" s="105" t="s">
        <v>364</v>
      </c>
      <c r="D84" s="105" t="s">
        <v>263</v>
      </c>
      <c r="E84" s="105" t="s">
        <v>163</v>
      </c>
      <c r="F84" s="105" t="s">
        <v>365</v>
      </c>
    </row>
    <row r="85">
      <c r="A85" s="104">
        <v>84.0</v>
      </c>
      <c r="B85" s="105" t="s">
        <v>169</v>
      </c>
      <c r="C85" s="105" t="s">
        <v>366</v>
      </c>
      <c r="D85" s="105" t="s">
        <v>263</v>
      </c>
      <c r="E85" s="105" t="s">
        <v>163</v>
      </c>
      <c r="F85" s="105" t="s">
        <v>367</v>
      </c>
    </row>
    <row r="86">
      <c r="A86" s="104">
        <v>85.0</v>
      </c>
      <c r="B86" s="105" t="s">
        <v>169</v>
      </c>
      <c r="C86" s="105" t="s">
        <v>368</v>
      </c>
      <c r="D86" s="105" t="s">
        <v>263</v>
      </c>
      <c r="E86" s="105" t="s">
        <v>163</v>
      </c>
      <c r="F86" s="105" t="s">
        <v>369</v>
      </c>
    </row>
    <row r="87">
      <c r="A87" s="104">
        <v>86.0</v>
      </c>
      <c r="B87" s="105" t="s">
        <v>169</v>
      </c>
      <c r="C87" s="105" t="s">
        <v>370</v>
      </c>
      <c r="D87" s="105" t="s">
        <v>263</v>
      </c>
      <c r="E87" s="105" t="s">
        <v>163</v>
      </c>
      <c r="F87" s="105" t="s">
        <v>371</v>
      </c>
    </row>
    <row r="88">
      <c r="A88" s="104">
        <v>87.0</v>
      </c>
      <c r="B88" s="105" t="s">
        <v>169</v>
      </c>
      <c r="C88" s="105" t="s">
        <v>372</v>
      </c>
      <c r="D88" s="105" t="s">
        <v>198</v>
      </c>
      <c r="E88" s="105" t="s">
        <v>199</v>
      </c>
      <c r="F88" s="105" t="s">
        <v>373</v>
      </c>
    </row>
  </sheetData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2" width="25.13"/>
    <col customWidth="1" min="3" max="5" width="12.63"/>
  </cols>
  <sheetData>
    <row r="1">
      <c r="A1" s="106" t="str">
        <f>'Project Team'!A1</f>
        <v>Last Name</v>
      </c>
      <c r="B1" s="106" t="str">
        <f>'Project Team'!B1</f>
        <v>First Name</v>
      </c>
      <c r="C1" s="107" t="s">
        <v>374</v>
      </c>
      <c r="D1" s="108"/>
      <c r="E1" s="109"/>
      <c r="F1" s="110"/>
      <c r="G1" s="111"/>
      <c r="H1" s="111"/>
    </row>
    <row r="2">
      <c r="A2" s="112" t="str">
        <f>'Project Team'!A2</f>
        <v>Lorenz</v>
      </c>
      <c r="B2" s="112" t="str">
        <f>'Project Team'!B2</f>
        <v>Alexander</v>
      </c>
      <c r="C2" s="113">
        <v>5.0</v>
      </c>
      <c r="D2" s="114"/>
      <c r="E2" s="115">
        <f>average(C2:C10)</f>
        <v>5</v>
      </c>
      <c r="F2" s="116" t="str">
        <f>if(stdev(C2:C7) &gt; 0,"NOK", "OK")</f>
        <v>OK</v>
      </c>
      <c r="G2" s="117"/>
      <c r="H2" s="117"/>
    </row>
    <row r="3">
      <c r="A3" s="118" t="str">
        <f>'Project Team'!A3</f>
        <v>Buchner</v>
      </c>
      <c r="B3" s="118" t="str">
        <f>'Project Team'!B3</f>
        <v>Lea</v>
      </c>
      <c r="C3" s="113">
        <v>5.0</v>
      </c>
      <c r="D3" s="119"/>
      <c r="G3" s="120"/>
      <c r="H3" s="120"/>
    </row>
    <row r="4">
      <c r="A4" s="112" t="str">
        <f>'Project Team'!A4</f>
        <v>Engelhard</v>
      </c>
      <c r="B4" s="112" t="str">
        <f>'Project Team'!B4</f>
        <v>Dirk</v>
      </c>
      <c r="C4" s="121"/>
      <c r="D4" s="114"/>
      <c r="G4" s="117"/>
      <c r="H4" s="117"/>
    </row>
    <row r="5">
      <c r="A5" s="118" t="str">
        <f>'Project Team'!A5</f>
        <v>Strachwitz</v>
      </c>
      <c r="B5" s="118" t="str">
        <f>'Project Team'!B5</f>
        <v>Carlo</v>
      </c>
      <c r="C5" s="122"/>
      <c r="D5" s="123"/>
      <c r="E5" s="123"/>
      <c r="F5" s="123"/>
      <c r="G5" s="120"/>
      <c r="H5" s="120"/>
    </row>
    <row r="6">
      <c r="A6" s="112" t="str">
        <f>'Project Team'!A6</f>
        <v>Belz</v>
      </c>
      <c r="B6" s="112" t="str">
        <f>'Project Team'!B6</f>
        <v>Sara</v>
      </c>
      <c r="C6" s="121"/>
      <c r="D6" s="124"/>
      <c r="E6" s="125">
        <v>0.0</v>
      </c>
      <c r="F6" s="126" t="s">
        <v>375</v>
      </c>
      <c r="G6" s="117"/>
      <c r="H6" s="117"/>
    </row>
    <row r="7">
      <c r="A7" s="118" t="str">
        <f>'Project Team'!A7</f>
        <v>Becker</v>
      </c>
      <c r="B7" s="118" t="str">
        <f>'Project Team'!B7</f>
        <v>Eugen</v>
      </c>
      <c r="C7" s="121"/>
      <c r="D7" s="123"/>
      <c r="E7" s="125">
        <v>1.0</v>
      </c>
      <c r="F7" s="126" t="s">
        <v>376</v>
      </c>
      <c r="G7" s="120"/>
      <c r="H7" s="120"/>
    </row>
    <row r="8">
      <c r="A8" s="112" t="str">
        <f>'Project Team'!A8</f>
        <v>Hofmann</v>
      </c>
      <c r="B8" s="112" t="str">
        <f>'Project Team'!B8</f>
        <v>Leo</v>
      </c>
      <c r="C8" s="122"/>
      <c r="D8" s="124"/>
      <c r="E8" s="125">
        <v>2.0</v>
      </c>
      <c r="F8" s="126" t="s">
        <v>377</v>
      </c>
      <c r="G8" s="117"/>
      <c r="H8" s="117"/>
    </row>
    <row r="9">
      <c r="A9" s="118" t="str">
        <f>'Project Team'!A9</f>
        <v>Knecht</v>
      </c>
      <c r="B9" s="118" t="str">
        <f>'Project Team'!B9</f>
        <v>Sebastian</v>
      </c>
      <c r="C9" s="122"/>
      <c r="D9" s="123"/>
      <c r="E9" s="125">
        <v>3.0</v>
      </c>
      <c r="F9" s="126" t="s">
        <v>378</v>
      </c>
      <c r="G9" s="120"/>
      <c r="H9" s="120"/>
    </row>
    <row r="10">
      <c r="A10" s="112" t="str">
        <f>'Project Team'!A10</f>
        <v/>
      </c>
      <c r="B10" s="112" t="str">
        <f>'Project Team'!B10</f>
        <v/>
      </c>
      <c r="C10" s="122"/>
      <c r="D10" s="124"/>
      <c r="E10" s="125">
        <v>5.0</v>
      </c>
      <c r="F10" s="126" t="s">
        <v>379</v>
      </c>
      <c r="G10" s="117"/>
      <c r="H10" s="117"/>
    </row>
    <row r="11">
      <c r="A11" s="118"/>
      <c r="B11" s="118"/>
      <c r="C11" s="121"/>
      <c r="D11" s="123"/>
      <c r="E11" s="125">
        <v>8.0</v>
      </c>
      <c r="F11" s="126" t="s">
        <v>380</v>
      </c>
      <c r="G11" s="120"/>
      <c r="H11" s="120"/>
    </row>
    <row r="12">
      <c r="A12" s="112"/>
      <c r="B12" s="112"/>
      <c r="C12" s="121"/>
      <c r="D12" s="124"/>
      <c r="E12" s="125">
        <v>13.0</v>
      </c>
      <c r="F12" s="126" t="s">
        <v>381</v>
      </c>
      <c r="G12" s="117"/>
      <c r="H12" s="117"/>
    </row>
    <row r="13">
      <c r="A13" s="118"/>
      <c r="B13" s="118"/>
      <c r="C13" s="123"/>
      <c r="D13" s="123"/>
      <c r="E13" s="123"/>
      <c r="F13" s="123"/>
      <c r="G13" s="120"/>
      <c r="H13" s="120"/>
    </row>
    <row r="14">
      <c r="A14" s="127" t="s">
        <v>382</v>
      </c>
      <c r="B14" s="128"/>
      <c r="C14" s="128"/>
      <c r="D14" s="128"/>
      <c r="E14" s="128"/>
      <c r="F14" s="128"/>
      <c r="G14" s="128"/>
      <c r="H14" s="128"/>
    </row>
    <row r="15">
      <c r="A15" s="129"/>
      <c r="B15" s="129"/>
      <c r="C15" s="129"/>
      <c r="D15" s="129"/>
      <c r="E15" s="129"/>
      <c r="F15" s="129"/>
      <c r="G15" s="129"/>
      <c r="H15" s="129"/>
    </row>
    <row r="16">
      <c r="A16" s="130" t="s">
        <v>383</v>
      </c>
      <c r="B16" s="131"/>
      <c r="C16" s="131"/>
      <c r="D16" s="131"/>
      <c r="E16" s="131"/>
      <c r="F16" s="131"/>
      <c r="G16" s="131"/>
      <c r="H16" s="131"/>
    </row>
    <row r="17">
      <c r="A17" s="132" t="s">
        <v>384</v>
      </c>
      <c r="B17" s="129"/>
      <c r="C17" s="129"/>
      <c r="D17" s="129"/>
      <c r="E17" s="129"/>
      <c r="F17" s="129"/>
      <c r="G17" s="129"/>
      <c r="H17" s="129"/>
    </row>
    <row r="18">
      <c r="A18" s="130" t="s">
        <v>385</v>
      </c>
      <c r="B18" s="131"/>
      <c r="C18" s="131"/>
      <c r="D18" s="131"/>
      <c r="E18" s="131"/>
      <c r="F18" s="131"/>
      <c r="G18" s="131"/>
      <c r="H18" s="131"/>
    </row>
    <row r="19">
      <c r="A19" s="129"/>
      <c r="B19" s="129"/>
      <c r="C19" s="129"/>
      <c r="D19" s="129"/>
      <c r="E19" s="129"/>
      <c r="F19" s="129"/>
      <c r="G19" s="129"/>
      <c r="H19" s="129"/>
    </row>
    <row r="20">
      <c r="A20" s="131"/>
      <c r="B20" s="131"/>
      <c r="C20" s="131"/>
      <c r="D20" s="131"/>
      <c r="E20" s="131"/>
      <c r="F20" s="131"/>
      <c r="G20" s="131"/>
      <c r="H20" s="131"/>
    </row>
  </sheetData>
  <mergeCells count="2">
    <mergeCell ref="E2:E4"/>
    <mergeCell ref="F2:F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