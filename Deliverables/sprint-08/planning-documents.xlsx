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3"/>
    <sheet state="visible" name="Project Team" sheetId="2" r:id="rId4"/>
    <sheet state="visible" name="Role Assignments" sheetId="3" r:id="rId5"/>
    <sheet state="visible" name="Team Contract" sheetId="4" r:id="rId6"/>
    <sheet state="visible" name="Product Goal" sheetId="5" r:id="rId7"/>
    <sheet state="visible" name="Product Glossary" sheetId="6" r:id="rId8"/>
    <sheet state="visible" name="Sprint Goals" sheetId="7" r:id="rId9"/>
    <sheet state="visible" name="Velocity Tracking" sheetId="8" r:id="rId10"/>
    <sheet state="visible" name="Velocity Chart" sheetId="9" r:id="rId11"/>
    <sheet state="visible" name="Mid-Project Release plan" sheetId="10" r:id="rId12"/>
    <sheet state="visible" name="Mid-Project Burndown Chart" sheetId="11" r:id="rId13"/>
    <sheet state="visible" name="Final Project Release plan" sheetId="12" r:id="rId14"/>
    <sheet state="visible" name="Final Project Burndown Chart" sheetId="13" r:id="rId15"/>
    <sheet state="visible" name="Definition of Done" sheetId="14" r:id="rId16"/>
    <sheet state="visible" name="Documentation" sheetId="15" r:id="rId17"/>
    <sheet state="visible" name="Bill of Materials" sheetId="16" r:id="rId18"/>
    <sheet state="visible" name="Planning Poker" sheetId="17" r:id="rId19"/>
  </sheets>
  <definedNames/>
  <calcPr/>
</workbook>
</file>

<file path=xl/sharedStrings.xml><?xml version="1.0" encoding="utf-8"?>
<sst xmlns="http://schemas.openxmlformats.org/spreadsheetml/2006/main" count="959" uniqueCount="632">
  <si>
    <t>Project Name</t>
  </si>
  <si>
    <t>...</t>
  </si>
  <si>
    <t>Online team meeting</t>
  </si>
  <si>
    <t>https://fau.zoom-x.de/j/3913240515?pwd=TWo2NkZmaVZFWDVKckNKVzQyRG4zdz09</t>
  </si>
  <si>
    <t>Production system (if any)</t>
  </si>
  <si>
    <t>TBT</t>
  </si>
  <si>
    <t>Test system (if any)</t>
  </si>
  <si>
    <t>GitHub repository</t>
  </si>
  <si>
    <t>https://github.com/amosproj/amos2025ws01-opensearch-load-tester</t>
  </si>
  <si>
    <t>GitHub feature board</t>
  </si>
  <si>
    <t>https://github.com/orgs/amosproj/projects/89/views/2</t>
  </si>
  <si>
    <t>GitHub imp-squared backlog</t>
  </si>
  <si>
    <t>https://github.com/orgs/amosproj/projects/93/views/1</t>
  </si>
  <si>
    <t>Team T-shirt (white)</t>
  </si>
  <si>
    <t>https://www.shirtinator.de/en/s/nasAq-u7RjO3FQ4BPPUSLw</t>
  </si>
  <si>
    <t>Team T-shirt (black)</t>
  </si>
  <si>
    <t>https://www.shirtinator.de/en/s/0VuwTYIwRviJfsV7ERwamA</t>
  </si>
  <si>
    <t>Additional materials</t>
  </si>
  <si>
    <t>Team maling list</t>
  </si>
  <si>
    <t>oss-amos-proj1@lists.fau.de</t>
  </si>
  <si>
    <t>Last Name</t>
  </si>
  <si>
    <t>First Name</t>
  </si>
  <si>
    <t>GitHub User Name</t>
  </si>
  <si>
    <t>Email Address</t>
  </si>
  <si>
    <t>Lorenz</t>
  </si>
  <si>
    <t>Alexander</t>
  </si>
  <si>
    <t>Hydraneut</t>
  </si>
  <si>
    <t>alexander.lorenz@fau.de</t>
  </si>
  <si>
    <t>Buchner</t>
  </si>
  <si>
    <t>Lea</t>
  </si>
  <si>
    <t>LeaBuchner</t>
  </si>
  <si>
    <r>
      <rPr>
        <rFont val="arial,sans,sans-serif"/>
        <color rgb="FF1155CC"/>
        <u/>
      </rPr>
      <t>lea.buchner@fau.de</t>
    </r>
  </si>
  <si>
    <t>Engelhard</t>
  </si>
  <si>
    <t>Dirk</t>
  </si>
  <si>
    <t>engelharddirk</t>
  </si>
  <si>
    <t>dirk.engelhard@fau.de</t>
  </si>
  <si>
    <t>Strachwitz</t>
  </si>
  <si>
    <t>Carlo</t>
  </si>
  <si>
    <t>Carlit0</t>
  </si>
  <si>
    <r>
      <rPr>
        <rFont val="arial,sans,sans-serif"/>
        <color rgb="FF1155CC"/>
        <u/>
      </rPr>
      <t>carlostrachwitz@gmail.com</t>
    </r>
  </si>
  <si>
    <t>Belz</t>
  </si>
  <si>
    <t>Sara</t>
  </si>
  <si>
    <t>SaraBelz</t>
  </si>
  <si>
    <r>
      <rPr>
        <rFont val="arial,sans,sans-serif"/>
        <color rgb="FF1155CC"/>
        <u/>
      </rPr>
      <t>sara.belz@fau.de</t>
    </r>
  </si>
  <si>
    <t>Becker</t>
  </si>
  <si>
    <t>Eugen</t>
  </si>
  <si>
    <t>BeEugen</t>
  </si>
  <si>
    <r>
      <rPr>
        <rFont val="arial,sans,sans-serif"/>
        <color rgb="FF1155CC"/>
        <u/>
      </rPr>
      <t>eugen.becker@fau.de</t>
    </r>
  </si>
  <si>
    <t>Hofmann</t>
  </si>
  <si>
    <t>Leo</t>
  </si>
  <si>
    <t>Leolingio</t>
  </si>
  <si>
    <t>leohof23@gmail.com</t>
  </si>
  <si>
    <t>Knecht</t>
  </si>
  <si>
    <t>Sebastian</t>
  </si>
  <si>
    <t>SeboKnt</t>
  </si>
  <si>
    <t>sebastian.knecht@fau.de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</si>
  <si>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</si>
  <si>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</si>
  <si>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</si>
  <si>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</si>
  <si>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</si>
  <si>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</si>
  <si>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</si>
  <si>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</si>
  <si>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</si>
  <si>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both</t>
  </si>
  <si>
    <t>Everyone else</t>
  </si>
  <si>
    <t>N/A</t>
  </si>
  <si>
    <t>Alexander Lorenz</t>
  </si>
  <si>
    <t>Lea Buchner</t>
  </si>
  <si>
    <t>Dirk Engelhard</t>
  </si>
  <si>
    <t>Carlo Strachwitz</t>
  </si>
  <si>
    <t>Build process review</t>
  </si>
  <si>
    <t>Leo Hofmann</t>
  </si>
  <si>
    <t>Sara Belz</t>
  </si>
  <si>
    <t>Sebastian Knecht</t>
  </si>
  <si>
    <t>Mid-term due</t>
  </si>
  <si>
    <t>Eugen Becker</t>
  </si>
  <si>
    <t>Team Workshop</t>
  </si>
  <si>
    <t>No class but team meeting</t>
  </si>
  <si>
    <t>Demo day!+retrospective</t>
  </si>
  <si>
    <t>Product owners, software developers, and Scurm Master are set and ideally don't change over time; the critical part is the Release Manager role you need to define here</t>
  </si>
  <si>
    <t>Goals</t>
  </si>
  <si>
    <t>achieve the project goal</t>
  </si>
  <si>
    <t>get inside into the scrum and agile process</t>
  </si>
  <si>
    <t>improve practical development skills</t>
  </si>
  <si>
    <t>create something worth using</t>
  </si>
  <si>
    <t>Meeting norms</t>
  </si>
  <si>
    <t>everybody should feel safe</t>
  </si>
  <si>
    <t>be punctual</t>
  </si>
  <si>
    <t>Absence from meetings should be (if possible) declared a day in advance</t>
  </si>
  <si>
    <t>Working norms</t>
  </si>
  <si>
    <t>open door policy (everybody should be allowed to do mistakes)</t>
  </si>
  <si>
    <t>maintaining good documentation</t>
  </si>
  <si>
    <t>Backlog items are assigned by the developers themselve before they work (outside the team meeting)</t>
  </si>
  <si>
    <t>Coordination norms</t>
  </si>
  <si>
    <t>every Backlog item has at least 1 deticated person (if work has already started on it)</t>
  </si>
  <si>
    <t>Contributers assigne them self to bakclog items</t>
  </si>
  <si>
    <t>Communication norms</t>
  </si>
  <si>
    <t>meetings take place in english unless stated otherwise</t>
  </si>
  <si>
    <t>stick to the topic of the channel</t>
  </si>
  <si>
    <t>We use discord as our primary method of communication</t>
  </si>
  <si>
    <t>we check discord at least once a day (and react if needed)</t>
  </si>
  <si>
    <t>We use Whatsapp for urgent communication (less than an hour)</t>
  </si>
  <si>
    <t>Consideration norms</t>
  </si>
  <si>
    <t>If you see something say something</t>
  </si>
  <si>
    <t>We decide with majority vote</t>
  </si>
  <si>
    <t>If we think we could help we extend it</t>
  </si>
  <si>
    <t>Cont. improvement norms</t>
  </si>
  <si>
    <t>constructive feedback is always welcome</t>
  </si>
  <si>
    <t>We jointly review the happiness index</t>
  </si>
  <si>
    <t>Rewards</t>
  </si>
  <si>
    <t>celebrate successes</t>
  </si>
  <si>
    <t>Appreciation and praise</t>
  </si>
  <si>
    <t>Sanctions</t>
  </si>
  <si>
    <t>apoligize sincerly</t>
  </si>
  <si>
    <t>and find a funny way to apoligize</t>
  </si>
  <si>
    <t>Signatures</t>
  </si>
  <si>
    <t>Product owner</t>
  </si>
  <si>
    <t>Software developer</t>
  </si>
  <si>
    <t>Product Vision</t>
  </si>
  <si>
    <t>Project Mission</t>
  </si>
  <si>
    <t xml:space="preserve">Make OpenSearch deployments predictable, right-sized, and resilient by providing a standard, evidence-based benchmarking and load-testing platform that reveals real-world limits and behaviors.
</t>
  </si>
  <si>
    <t>Build a modular, extensible load-tester that reliably measures OpenSearch performance limits and produces reproducible artifacts for capacity planning and reliability engineering.</t>
  </si>
  <si>
    <t>Term</t>
  </si>
  <si>
    <t>Definition</t>
  </si>
  <si>
    <t>OpenSearch</t>
  </si>
  <si>
    <t>A search and analytics engine (Elasticsearch fork). In this project, OpenSearch is the target system for load and ingest testing.</t>
  </si>
  <si>
    <t>Load Generator / load-generator</t>
  </si>
  <si>
    <t>Component that produces requests/load against OpenSearch to perform performance and stress tests. Located in the load-generator module.</t>
  </si>
  <si>
    <t>Load Test</t>
  </si>
  <si>
    <t>A planned execution that runs a certain number of queries, a load pattern, or a duration against OpenSearch to measure behavior, throughput and latency.</t>
  </si>
  <si>
    <t>Load Runner / LoadRunnerService</t>
  </si>
  <si>
    <t>Service component that orchestrates query execution for a test (scheduling, threads, rate limiting, metric collection).</t>
  </si>
  <si>
    <t>Query (Search Query)</t>
  </si>
  <si>
    <t>A single search or aggregation request, represented as a JSON template under src/main/resources/queries/ (e.g. q1_ano_payroll_range.json). Templates may include parameters/placeholders.</t>
  </si>
  <si>
    <t>Query Template</t>
  </si>
  <si>
    <t>JSON template for a query with placeholders to be filled at runtime.</t>
  </si>
  <si>
    <t>QueryRunRequest</t>
  </si>
  <si>
    <t>DTO describing a request to run a query in the load generator (which query, repetitions, rate, etc.). Found in controller/QueryRunRequest.java.</t>
  </si>
  <si>
    <t>Query Execution / QueryExecution</t>
  </si>
  <si>
    <t>Abstraction for executing a query against a target. Implementations perform the actual call (or a no-op for dry runs).</t>
  </si>
  <si>
    <t>OpenSearchQueryExecution</t>
  </si>
  <si>
    <t>Concrete QueryExecution implementation that sends requests to OpenSearch.</t>
  </si>
  <si>
    <t>NoOpQueryExecution</t>
  </si>
  <si>
    <t>A test or dry-run implementation of QueryExecution that does not send real requests.</t>
  </si>
  <si>
    <t>QueryExecutionFactory</t>
  </si>
  <si>
    <t>Factory producing appropriate QueryExecution instances depending on configuration or target.</t>
  </si>
  <si>
    <t>QueryRegistry</t>
  </si>
  <si>
    <t>Registry or catalog of available query templates and metadata (names, paths, parameters).</t>
  </si>
  <si>
    <t>Index</t>
  </si>
  <si>
    <t xml:space="preserve">OpenSearch index: a logical collection of documents defined by mappings.
</t>
  </si>
  <si>
    <t>Document</t>
  </si>
  <si>
    <t>A single JSON record stored in an index. Test data is created and indexed as documents.</t>
  </si>
  <si>
    <t>Mapping</t>
  </si>
  <si>
    <t>Schema-definition for an index (fields and types).</t>
  </si>
  <si>
    <t>Aggregation</t>
  </si>
  <si>
    <t>OpenSearch operation to group or summarize data (counts, sums, bucket aggregations). Examples: q5_ano_clients_aggregation.json.</t>
  </si>
  <si>
    <t>Range Query</t>
  </si>
  <si>
    <t>A query that filters documents based on numeric or date ranges (e.g., payroll ranges).</t>
  </si>
  <si>
    <t>Match / Term Query</t>
  </si>
  <si>
    <t>Full-text or exact-match queries in OpenSearch.</t>
  </si>
  <si>
    <t>Bulk API / Bulk Indexing</t>
  </si>
  <si>
    <t>Mechanism for inserting many documents in a single request to increase throughput.</t>
  </si>
  <si>
    <t>Ingestion Rate</t>
  </si>
  <si>
    <t>Number of documents indexed per time unit.</t>
  </si>
  <si>
    <t>Throughput</t>
  </si>
  <si>
    <t>Number of successfully processed requests per second (often QPS).</t>
  </si>
  <si>
    <t>QPS (Queries Per Second)</t>
  </si>
  <si>
    <t>Metric indicating how many queries are executed per second.</t>
  </si>
  <si>
    <t>Concurrency</t>
  </si>
  <si>
    <t>Number of parallel requests/threads during a test.</t>
  </si>
  <si>
    <t>Latency</t>
  </si>
  <si>
    <t>Time between request and response. Typical metrics: average, p95, p99.</t>
  </si>
  <si>
    <t>Response Time</t>
  </si>
  <si>
    <t>General term for latency; often reported with distribution statistics.</t>
  </si>
  <si>
    <t>Error Rate</t>
  </si>
  <si>
    <t>Fraction of failed responses (HTTP errors, timeouts) out of total requests.</t>
  </si>
  <si>
    <t>Metrics Collector / metrics-reporter</t>
  </si>
  <si>
    <t>Component that gathers runtime metrics (latency, throughput, errors) and exports or stores them. See metrics-reporter module.</t>
  </si>
  <si>
    <t>MetricsCollectorService</t>
  </si>
  <si>
    <t>Service in load-generator that aggregates metrics from test runs and forwards them to a reporter or sink.</t>
  </si>
  <si>
    <t>Test Data</t>
  </si>
  <si>
    <t>Data that is indexed into OpenSearch for testing, often generated synthetically (see testdata-generator).</t>
  </si>
  <si>
    <t>testdata-generator</t>
  </si>
  <si>
    <t>Module responsible for generating and optionally storing test datasets (models: AnoRecord, DuoRecord).</t>
  </si>
  <si>
    <t>Ano / AnoRecord</t>
  </si>
  <si>
    <t>Domain model class in the testdata-generator module. Represents a specific record schema used by some queries (fields defined in the model file).</t>
  </si>
  <si>
    <t>Duo / DuoRecord</t>
  </si>
  <si>
    <t>Another domain model in testdata-generator with a different schema; used by queries referencing duo data.</t>
  </si>
  <si>
    <t>Recordable</t>
  </si>
  <si>
    <t>Interface/abstraction implemented by AnoRecord and DuoRecord to provide serialization or indexing behavior.</t>
  </si>
  <si>
    <t>PersistentDataGeneratorService</t>
  </si>
  <si>
    <t>Service that persists generated test data (e.g., to files or external storage).</t>
  </si>
  <si>
    <t>DynamicDataGeneratorService</t>
  </si>
  <si>
    <t>Service that generates test data dynamically at runtime (randomized or parameterized fields).</t>
  </si>
  <si>
    <t>FileStorageService</t>
  </si>
  <si>
    <t>Utility/service for reading and writing generated test data to/from files.</t>
  </si>
  <si>
    <t>OpenSearchDataService</t>
  </si>
  <si>
    <t>Component that communicates with OpenSearch to index, delete, or query data.</t>
  </si>
  <si>
    <t>Client (business entity)</t>
  </si>
  <si>
    <t>Business object representing a customer/client. Queries like q7_duo_client_by_customer_number.json reference client data.</t>
  </si>
  <si>
    <t>Booking</t>
  </si>
  <si>
    <t>Business domain entity (e.g., a financial booking or reservation). Appears in queries like q4_duo_booking_by_client_and_state.json.</t>
  </si>
  <si>
    <t>SLA (Service Level Agreement) - general concept</t>
  </si>
  <si>
    <t>Target or acceptance values for latency/throughput/error rates used to validate system behavior under load.</t>
  </si>
  <si>
    <t>Dry-run</t>
  </si>
  <si>
    <t>Mode where queries are not actually sent to OpenSearch (see NoOpQueryExecution).</t>
  </si>
  <si>
    <t>Warmup</t>
  </si>
  <si>
    <t>Pre-measurement phase in load tests to warm caches and stabilize the system before capturing metrics.</t>
  </si>
  <si>
    <t>Backpressure</t>
  </si>
  <si>
    <t>System behavior when the target cannot keep up with the requested throughput; relevant to error rates and latency spikes.</t>
  </si>
  <si>
    <t>Sprint #</t>
  </si>
  <si>
    <t>Sprint goal</t>
  </si>
  <si>
    <t>None</t>
  </si>
  <si>
    <t>Optional</t>
  </si>
  <si>
    <t>Internal component integration of each service</t>
  </si>
  <si>
    <t>First End-To-End test run</t>
  </si>
  <si>
    <t>Add Warm-Up and Ramp-Up Phase</t>
  </si>
  <si>
    <t>Query capabilities</t>
  </si>
  <si>
    <t>Query randomization</t>
  </si>
  <si>
    <t>Distributed Load Execution</t>
  </si>
  <si>
    <t>Query Scenarios</t>
  </si>
  <si>
    <t>Visualization for demo</t>
  </si>
  <si>
    <t>Stabilization, tuning, packaging</t>
  </si>
  <si>
    <t>DEMO-DAY readiness</t>
  </si>
  <si>
    <t>Story Points Realized</t>
  </si>
  <si>
    <t>Avg</t>
  </si>
  <si>
    <t>PLEASE CREATE THE VELOCITY CHART ON A NEW TAB USING THE DATA FROM THIS TAB</t>
  </si>
  <si>
    <t xml:space="preserve">Average Speed: </t>
  </si>
  <si>
    <t>Points/Sprint</t>
  </si>
  <si>
    <t>Scrum Master Tables</t>
  </si>
  <si>
    <t>Sprint</t>
  </si>
  <si>
    <t>Storypoints Planned</t>
  </si>
  <si>
    <t>Storypoints Realized</t>
  </si>
  <si>
    <t>Average Planned</t>
  </si>
  <si>
    <t>Average Realized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</si>
  <si>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</si>
  <si>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</si>
  <si>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</si>
  <si>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</si>
  <si>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</si>
  <si>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</si>
  <si>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</si>
  <si>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</si>
  <si>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</si>
  <si>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</si>
  <si>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</si>
  <si>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Deliver first increment of initialized software modules and an architecture plan</t>
  </si>
  <si>
    <t>Deliver increment with Build process implementation and first module prototypes</t>
  </si>
  <si>
    <t>Deliver increment with broad prototype implementation coverage</t>
  </si>
  <si>
    <t>Deliver increment with first component integrations implemented</t>
  </si>
  <si>
    <t>Deliver increment with more integration and technical test running capability</t>
  </si>
  <si>
    <t>Deliver Increment with simple full test run routine executable</t>
  </si>
  <si>
    <t>Features</t>
  </si>
  <si>
    <t>Research - OpenSearch</t>
  </si>
  <si>
    <t>Research - Understand DATEV Data Structure (Industry Partner Input) for Load Tester Query Design</t>
  </si>
  <si>
    <t>Developer Environment Setup</t>
  </si>
  <si>
    <t>GitHub Repository Management Decision</t>
  </si>
  <si>
    <t>Architecture evaluation/decision</t>
  </si>
  <si>
    <t>Design Team Shirt</t>
  </si>
  <si>
    <t>Initialize SBOM</t>
  </si>
  <si>
    <t>Minimal Module Initialization</t>
  </si>
  <si>
    <t>Define Representative Query Scenarios</t>
  </si>
  <si>
    <t>Prepare Build Process Review</t>
  </si>
  <si>
    <t>Research - Benchmark Tools for OpenSearch Load Tester</t>
  </si>
  <si>
    <t>OpenSearchClient prototype</t>
  </si>
  <si>
    <t>Build Process Decision</t>
  </si>
  <si>
    <t>Data Generation Prototype</t>
  </si>
  <si>
    <t>Architecture adaptation</t>
  </si>
  <si>
    <t>Build Process Implementation</t>
  </si>
  <si>
    <t>Github Signoff/Co-Author Automation</t>
  </si>
  <si>
    <t>MetricsCollector Prototype Implementation</t>
  </si>
  <si>
    <t>QueryExecution Prototypee Implementation</t>
  </si>
  <si>
    <t>LoadRunner Component Prototype Implementation</t>
  </si>
  <si>
    <t>Logging Mechanism Implementation</t>
  </si>
  <si>
    <t>Data Generation &lt;&gt; OpenSearch Client Integration</t>
  </si>
  <si>
    <t>Environment Variable Support for Dockerized Services</t>
  </si>
  <si>
    <t>Automatic Shutdown of Testdata Generator Service</t>
  </si>
  <si>
    <t>QueryExecution Prototype Implementation</t>
  </si>
  <si>
    <t>Data Generation with OpenSearch Client Integration</t>
  </si>
  <si>
    <t>Implementation of Batch Processing for Data Pre-Loading</t>
  </si>
  <si>
    <t>Unified Code Styling &amp; Editor Configurations</t>
  </si>
  <si>
    <t>Ano/Duo Separation</t>
  </si>
  <si>
    <t>Deliver Increment with internal component integrations broadly implemented</t>
  </si>
  <si>
    <t>Load Generator Port Setup Dockerized Services</t>
  </si>
  <si>
    <t>Load Generator Internal Component Integration</t>
  </si>
  <si>
    <t>ReportController Component Prototype Implementation</t>
  </si>
  <si>
    <t>Build Process Video</t>
  </si>
  <si>
    <t>Definition of Done</t>
  </si>
  <si>
    <t>Implementation of MetricsReporterClient Prototype</t>
  </si>
  <si>
    <t>Implementation of Load Test Scenario</t>
  </si>
  <si>
    <t>ReportCreator Component Prototype Implementation</t>
  </si>
  <si>
    <t>Wiki Creation</t>
  </si>
  <si>
    <t>CI/CD Pipeline Setup</t>
  </si>
  <si>
    <t>Development Speed:</t>
  </si>
  <si>
    <t>Deliver Increment with full test run executable supporting warm-up and synchronized load start</t>
  </si>
  <si>
    <t>Deliver Increment with impoved query capabilities</t>
  </si>
  <si>
    <t>Deliver Increment with broad query randomization</t>
  </si>
  <si>
    <t>Deliver Increment with Distributed load execution</t>
  </si>
  <si>
    <t>Deliver Increment with set of query scenarios</t>
  </si>
  <si>
    <t>Deliver Increment with a data report visualization for demo purposes</t>
  </si>
  <si>
    <t>Deliver Increment with Stabilization, tuning, packaging</t>
  </si>
  <si>
    <t>Deliver Increment with finished, DEMO-DAY-Ready product</t>
  </si>
  <si>
    <t>Complex Queries</t>
  </si>
  <si>
    <t>Big Data Handling in MetricsReporter</t>
  </si>
  <si>
    <t>Code Refactoring</t>
  </si>
  <si>
    <t>Shared Library Creation</t>
  </si>
  <si>
    <t>Configurable Queries per Second</t>
  </si>
  <si>
    <t>Load Generator Request Synchronization</t>
  </si>
  <si>
    <t>Optimize Random Generation of Test Data</t>
  </si>
  <si>
    <t>Configurable Test Duration</t>
  </si>
  <si>
    <t>Load Generator functionality Definition</t>
  </si>
  <si>
    <t>Redesign Metrics Data Model</t>
  </si>
  <si>
    <t>Extend Ano and Duo Index Mapping and Settings</t>
  </si>
  <si>
    <t>Refactoring: Include DTO changes in Metrics Reporter</t>
  </si>
  <si>
    <t>Query Parameter Randomization</t>
  </si>
  <si>
    <t>Warm-Up Phase</t>
  </si>
  <si>
    <t>Documentation for Advanced Query Usage</t>
  </si>
  <si>
    <t>Load Generator Start Synchronization</t>
  </si>
  <si>
    <t>Extend (Unit) Test Coverage</t>
  </si>
  <si>
    <t>Test ending wait mechanism</t>
  </si>
  <si>
    <t>Load Generator Query Type Mix</t>
  </si>
  <si>
    <t>Query Refactoring</t>
  </si>
  <si>
    <t>Add Linting to CI/CD Pipeline</t>
  </si>
  <si>
    <t>Architecture (Diargram) Refactoring</t>
  </si>
  <si>
    <t>View for Test Summary</t>
  </si>
  <si>
    <t>Deliver Increment: Distributed load execution</t>
  </si>
  <si>
    <t>Multi-Node Load Generation Support</t>
  </si>
  <si>
    <t>Coordinator Node Architecture</t>
  </si>
  <si>
    <t>Load Distribution Algorithm</t>
  </si>
  <si>
    <t>Resilient Messaging Between Nodes</t>
  </si>
  <si>
    <t>Distributed Metrics Aggregation</t>
  </si>
  <si>
    <t>Deliver Increment: Set of query scenarios</t>
  </si>
  <si>
    <t>Define Scenario Structure &amp; DSL</t>
  </si>
  <si>
    <t>Pre-built Scenarios (Search, Aggregations, Mixed)</t>
  </si>
  <si>
    <t>Time-based Scenario Control</t>
  </si>
  <si>
    <t>Scenario Looping &amp; Weighted Groups</t>
  </si>
  <si>
    <t>Scenario Summary &amp; Reporting</t>
  </si>
  <si>
    <t>Deliver Increment: Data report visualization for demo</t>
  </si>
  <si>
    <t>Basic Web Dashboard</t>
  </si>
  <si>
    <t>Real-time Graphs (QPS, Latency, Errors)</t>
  </si>
  <si>
    <t>Trend Lines &amp; Historical Data Comparison</t>
  </si>
  <si>
    <t>Export Reports (PDF/CSV)</t>
  </si>
  <si>
    <t>Dashboard Mobile-Friendly UI</t>
  </si>
  <si>
    <t>Demo Visualization Themes</t>
  </si>
  <si>
    <t>Deliver Increment: Stabilization, tuning, packaging</t>
  </si>
  <si>
    <t>Load Generator Optimization (GC, Memory)</t>
  </si>
  <si>
    <t>Query Execution Tuning</t>
  </si>
  <si>
    <t>Packaging into Standalone Binary</t>
  </si>
  <si>
    <t>End-to-End Stability Tests</t>
  </si>
  <si>
    <t>Documentation Cleanup</t>
  </si>
  <si>
    <t>Deliver Increment with finished, DEMO-DAY-Ready produc</t>
  </si>
  <si>
    <t>Final Demo Workflow</t>
  </si>
  <si>
    <t>Polished Dashboard &amp; UX</t>
  </si>
  <si>
    <t>Scenario Library Complete</t>
  </si>
  <si>
    <t>Full System QA</t>
  </si>
  <si>
    <t>Presentation + Demo Script</t>
  </si>
  <si>
    <t>Avg. development speed (across all sprints):</t>
  </si>
  <si>
    <t>Feature Definition of Done</t>
  </si>
  <si>
    <t>Sprint Release Definition of Done</t>
  </si>
  <si>
    <t>Project Release Definition of Done</t>
  </si>
  <si>
    <t>Overview</t>
  </si>
  <si>
    <t>A single new feature or user story implemented in Trunk Load (e.g., new query type, new CLI option, new scenario).</t>
  </si>
  <si>
    <t xml:space="preserve">The subset of functionality and artifacts that must be finished and deliverable at the end of a sprint (sprint-level deliverable).
</t>
  </si>
  <si>
    <t>The final project release: full handover of the stress‑testing toolset, reproducible scenarios, baselines and deliverables.</t>
  </si>
  <si>
    <t>Scope</t>
  </si>
  <si>
    <t xml:space="preserve">Code, tests and docs needed to implement the feature in load-generator, metrics-reporter or testdata-generator.
</t>
  </si>
  <si>
    <t xml:space="preserve">All features/bugfixes scoped to the sprint board’s “Done” column, plus required scenarios and deliverables in Deliverables/sprint-XX/.
</t>
  </si>
  <si>
    <t>All features and fixes required for the final deliverable, automated scenarios (ramp, steady, spike, soak, chaos), reporting assets and reproducibility instructions in Deliverables/.</t>
  </si>
  <si>
    <t>Acceptance Criteria</t>
  </si>
  <si>
    <t xml:space="preserve">- Implements the story’s acceptance criteria from the issue.
- At least one concrete example scenario demonstrating the feature exists.
- No secrets added and no new critical static-analysis findings.
- Excludes wide refactors unless explicitly requested.
- Code compiles without errors locally and in CI.
- Formatting and linting checks pass.
- Minimal unit tests cover the relevant logic.
- Code is documented where appropriate (Wiki/internal README).
</t>
  </si>
  <si>
    <t>- All sprint issues marked Done have merged PRs.
- Each merged item satisfies its Feature or Bugfix DoD.
- All completed features are integrated and do not break the full system.​
- Architectural guidelines are respected.​
- Full Docker Compose setup starts without errors:​
○​OpenSearch + Dashboards​
○​Load Generator​
○​Metrics Reporter / Metrics Storage (if present)​
○​Report Controller​
○​Logging stack (Promtail/Loki) if used​○​Metrics Reporter / Metrics Storage (if present)​
- The increment can be demonstrated in the Sprint Review without failures.</t>
  </si>
  <si>
    <t>- All required scenarios implemented and automated.
- Reproducible runs produce archived results (raw + aggregated charts).
- Required performance/resilience targets met for mandatory scenarios.
- Documentation is complete (test plan, runbook, interpretation guide, reproducibility checklist).
- No open critical bugs.
- All promised components implemented:​
○​Fully working Load Generator​
○​Query Execution + Templates​
○​Metrics Reporter​
○​Report Controller (prototype level is OK if IP handles the rest)​
○​Stable OpenSearch integration​
○​Data generation for “ano” and “duo”​
- Final code review approved by the team.​
- No critical warnings or dead code.​
- Repository clean with no unmerged branches.​</t>
  </si>
  <si>
    <t>Tests &amp; Validation</t>
  </si>
  <si>
    <t>- Unit tests: new/changed classes covered (place under module src/test/java).
- Integration test: Testcontainers or short docker-compose integration that exercises the feature against OpenSearch.
- Smoke run: a short end‑to‑end scenario (e.g., 30–60s) that demonstrates feature behavior and produces output.
- Basic manual testing completed.​
- Logs checked and no unexpected errors appear.​
- Code review completed and approved by at least one teammate.​
- DTOs, controllers, YAML config files updated as needed</t>
  </si>
  <si>
    <t>(- Run the sprint acceptance scenarios: population → run → collect → validate.)
(- Validation scripts assert basic pass/fail (no critical errors, p95/p99 within sprint thresholds).)
All commits pass CI:​
○​Build​
○​Unit tests​
○​Static analysis (lint)​
○​Formatting​
- No critical errors in logs.​</t>
  </si>
  <si>
    <t xml:space="preserve">- Full end-to-end validation runs executed (including at least one soak and one chaos test) and validated by scripts.
- Regression/reproducibility check: repeat a representative scenario and verify results within accepted variance (e.g., ±10%).
- Unit + integration suites green.
- 
Docker Compose environment stable and reproducible.​
- Entire stack starts from scratch without errors.​
- Final load tests executed and documented.​
- ​Logs structured and free of critical problems.​
- Final demonstration with DATEV/IP completed.​
- Test coverage includes:​
○​Happy-path scenarios​
○​Error handling (e.g., OS down, timeout, invalid configs, multi-threading)​
- Minimal stress tests documented.​
 </t>
  </si>
  <si>
    <t>Documentation</t>
  </si>
  <si>
    <t xml:space="preserve">- Usage example added to module README.md and/or wiki.
</t>
  </si>
  <si>
    <t>- Sprint notes updated in the wiki.​
- Architecture diagrams updated if anything changed.​
- API documentation updated with new endpoints.​</t>
  </si>
  <si>
    <t>- Deliverables/ contains final reports, scenario definitions, scripts to reproduce, dashboard exports and a README with exact reproduction commands.
- Documentation/ contains runbook, interpretation guide, and troubleshooting steps, final architecture​, docker setup​, API endpoints​, execution examples​, "How to add new queries​", "how to generate and upload data to OpenSearch​" as part of wiki.
- Final presentation delivered</t>
  </si>
  <si>
    <t>CI / Automation (when existing)</t>
  </si>
  <si>
    <t xml:space="preserve">- PR CI must run build + unit tests + linter.
- Integration smoke test recommended in merge pipeline (if it’s fast); otherwise on main/merge job.
</t>
  </si>
  <si>
    <t>- Merge/main pipeline runs smoke acceptance scenarios (short) or a job that can be manually triggered to run them.
- CI artifacts for the sprint (result JSON/CSV and summary) are archived in pipeline artifacts.</t>
  </si>
  <si>
    <t>- Release pipeline builds artifacts (JARs, Docker images) and archives results.
- Nightly or release-run perf jobs executed and artifacts persisted; CI flags regressions compared to baselines.
- Dependency/security scans completed.</t>
  </si>
  <si>
    <t>Metrics &amp; Thresholds</t>
  </si>
  <si>
    <t>- If performance-related: attach baseline and verify no significant regression (&gt;10% on critical metric) unless approved.
- Smoke validation: error rate &lt; 5% (adjustable per scenario) and p95 reported.
PR Checklist
 - Issue/story linked
 - Unit tests added + passing
 - Integration/smoke test added
 - Documentation updated
 - Reviewer approved</t>
  </si>
  <si>
    <t>- Sprint acceptance thresholds defined per scenario (e.g., for that sprint: p95 &lt;= 600 ms, error rate &lt;= 2%).
- If thresholds not met, the sprint cannot be marked finished until remediation or explicit acceptance by PO.
PR Checklist
 - All sprint issues linked and merged
 - Acceptance scenarios included and runnable
 - Deliverables/sprint-XX populated with results
 - CI artifacts archived
 - PO/TA acknowledged</t>
  </si>
  <si>
    <t>- Project-level mandatory thresholds must be met (define concretely before final validation, e.g.):
        - Steady-state p95 &lt;= X ms, p99 &lt;= Y ms, error rate &lt;= Z%.
        - Soak: sustained stability for N minutes without memory growth or                                                                 node crashes.
        - Chaos: cluster remains available and recovers within R minutes.
- Reproducibility: repeated runs within ±10% of throughput and latency targets (tunable).
PR / Release Checklist
 - All scenarios automated and in repo
 - Deliverables folder contains final reports and artifacts
 - Release build artifacts created (JARs, Docker images)
 - Baselines and comparison scripts in place
 - Security/dependency checks done
 - PO/TA and technical reviewers sign off</t>
  </si>
  <si>
    <t xml:space="preserve">Sign-off
</t>
  </si>
  <si>
    <t>At least one technical reviewer; feature owner or PO must approve if feature affects user behavior or public interfaces.</t>
  </si>
  <si>
    <t xml:space="preserve">Product Owner acceptance of sprint deliverables and at least one technical reviewer sign-off.
</t>
  </si>
  <si>
    <t>Formal sign-off by Product Owner / Teaching Assistant and at least two technical reviewers; release tagged and artifacts archived.</t>
  </si>
  <si>
    <t>Type</t>
  </si>
  <si>
    <t>Link / reference</t>
  </si>
  <si>
    <t>Wiki</t>
  </si>
  <si>
    <t>https://github.com/amosproj/amos2025ws01-opensearch-load-tester/wiki</t>
  </si>
  <si>
    <t>Context</t>
  </si>
  <si>
    <t>Name</t>
  </si>
  <si>
    <t>Version</t>
  </si>
  <si>
    <t>License</t>
  </si>
  <si>
    <t>environment</t>
  </si>
  <si>
    <t>Eclipse Temurin OpenJDK</t>
  </si>
  <si>
    <t>25 (LTS)</t>
  </si>
  <si>
    <t>GPL-2.0 with Classpath Exception</t>
  </si>
  <si>
    <t>Java runtime used for building and running the application</t>
  </si>
  <si>
    <t>Docker</t>
  </si>
  <si>
    <t>28.5.1</t>
  </si>
  <si>
    <t>Apache-2.0</t>
  </si>
  <si>
    <t>Container environment for running OpenSearch and Load Tester services</t>
  </si>
  <si>
    <t>tool</t>
  </si>
  <si>
    <t>Apache Maven</t>
  </si>
  <si>
    <t>3.9.11</t>
  </si>
  <si>
    <t>Build automation and dependency management tool</t>
  </si>
  <si>
    <t>library</t>
  </si>
  <si>
    <t>spring-boot-starter</t>
  </si>
  <si>
    <t>3.5.7</t>
  </si>
  <si>
    <t>Entry point for Spring Boot dependency management</t>
  </si>
  <si>
    <t>spring-boot</t>
  </si>
  <si>
    <t>Core framework providing auto-configuration and runtime support</t>
  </si>
  <si>
    <t>spring-context</t>
  </si>
  <si>
    <t>6.2.12</t>
  </si>
  <si>
    <t>Dependency injection and application context management</t>
  </si>
  <si>
    <t>spring-aop</t>
  </si>
  <si>
    <t>Aspect-oriented programming support</t>
  </si>
  <si>
    <t>spring-beans</t>
  </si>
  <si>
    <t>Bean creation and configuration framework</t>
  </si>
  <si>
    <t>spring-expression</t>
  </si>
  <si>
    <t>Spring Expression Language (SpEL) processing</t>
  </si>
  <si>
    <t>spring-boot-autoconfigure</t>
  </si>
  <si>
    <t>Automatically configures components based on classpath</t>
  </si>
  <si>
    <t>spring-boot-starter-logging</t>
  </si>
  <si>
    <t>Default logging configuration using Logback</t>
  </si>
  <si>
    <t>logback-classic</t>
  </si>
  <si>
    <t>1.5.20</t>
  </si>
  <si>
    <t>EPL-1.0</t>
  </si>
  <si>
    <t>Logging backend implementing SLF4J API</t>
  </si>
  <si>
    <t>logback-core</t>
  </si>
  <si>
    <t>Core utilities for Logback logging</t>
  </si>
  <si>
    <t>log4j-to-slf4j</t>
  </si>
  <si>
    <t>2.24.3</t>
  </si>
  <si>
    <t>Redirects Log4j 2 logs to SLF4J</t>
  </si>
  <si>
    <t>jul-to-slf4j</t>
  </si>
  <si>
    <t>2.0.17</t>
  </si>
  <si>
    <t>MIT</t>
  </si>
  <si>
    <t>Bridges java.util.logging to SLF4J</t>
  </si>
  <si>
    <t>jakarta.annotation-api</t>
  </si>
  <si>
    <t>2.1.1</t>
  </si>
  <si>
    <t>EPL-2.0</t>
  </si>
  <si>
    <t>Jakarta annotations used by Spring components</t>
  </si>
  <si>
    <t>spring-core</t>
  </si>
  <si>
    <t>Core utilities and classloading framework of Spring</t>
  </si>
  <si>
    <t>spring-jcl</t>
  </si>
  <si>
    <t>Logging abstraction used internally by Spring</t>
  </si>
  <si>
    <t>snakeyaml</t>
  </si>
  <si>
    <t>YAML parser for configuration files</t>
  </si>
  <si>
    <t>micrometer-core</t>
  </si>
  <si>
    <t>1.15.5</t>
  </si>
  <si>
    <t>Core metrics collection API</t>
  </si>
  <si>
    <t>micrometer-commons</t>
  </si>
  <si>
    <t>Shared utilities for metrics instrumentation</t>
  </si>
  <si>
    <t>micrometer-observation</t>
  </si>
  <si>
    <t>Captures timing and observation data for metrics</t>
  </si>
  <si>
    <t>HdrHistogram</t>
  </si>
  <si>
    <t>2.2.2</t>
  </si>
  <si>
    <t>CC0-1.0</t>
  </si>
  <si>
    <t>High-resolution latency measurement library</t>
  </si>
  <si>
    <t>LatencyUtils</t>
  </si>
  <si>
    <t>2.0.3</t>
  </si>
  <si>
    <t>Helper utilities for latency tracking</t>
  </si>
  <si>
    <t>micrometer-registry-prometheus</t>
  </si>
  <si>
    <t>Exposes Micrometer metrics to Prometheus</t>
  </si>
  <si>
    <t>prometheus-metrics-core</t>
  </si>
  <si>
    <t>1.3.10</t>
  </si>
  <si>
    <t>Core Prometheus metrics collection</t>
  </si>
  <si>
    <t>prometheus-metrics-model</t>
  </si>
  <si>
    <t>Data model for Prometheus metrics</t>
  </si>
  <si>
    <t>prometheus-metrics-config</t>
  </si>
  <si>
    <t>Configuration utilities for Prometheus metrics</t>
  </si>
  <si>
    <t>prometheus-metrics-tracer-common</t>
  </si>
  <si>
    <t>Common tracing utilities for Prometheus exporters</t>
  </si>
  <si>
    <t>prometheus-metrics-exposition-formats</t>
  </si>
  <si>
    <t>Serialization formats for Prometheus metrics</t>
  </si>
  <si>
    <t>prometheus-metrics-exposition-textformats</t>
  </si>
  <si>
    <t>Text exposition format for Prometheus</t>
  </si>
  <si>
    <t>lombok</t>
  </si>
  <si>
    <t>1.18.34</t>
  </si>
  <si>
    <t>Generates boilerplate code (getters/setters, builders, etc.)</t>
  </si>
  <si>
    <t>opensearch-rest-high-level-client</t>
  </si>
  <si>
    <t>2.16.0</t>
  </si>
  <si>
    <t>REST client for interacting with OpenSearch clusters</t>
  </si>
  <si>
    <t>opensearch</t>
  </si>
  <si>
    <t>Core OpenSearch library</t>
  </si>
  <si>
    <t>opensearch-common</t>
  </si>
  <si>
    <t>Common interfaces and utilities for OpenSearch modules</t>
  </si>
  <si>
    <t>opensearch-core</t>
  </si>
  <si>
    <t>Core APIs for OpenSearch operations</t>
  </si>
  <si>
    <t>opensearch-compress</t>
  </si>
  <si>
    <t>Compression utilities used internally by OpenSearch</t>
  </si>
  <si>
    <t>zstd-jni</t>
  </si>
  <si>
    <t>1.5.5-5</t>
  </si>
  <si>
    <t>BSD-2-Clause</t>
  </si>
  <si>
    <t>Java bindings for Zstandard compression</t>
  </si>
  <si>
    <t>opensearch-secure-sm</t>
  </si>
  <si>
    <t>Security manager integration for OpenSearch</t>
  </si>
  <si>
    <t>opensearch-x-content</t>
  </si>
  <si>
    <t>Serialization/deserialization utilities in OpenSearch</t>
  </si>
  <si>
    <t>jackson-dataformat-smile</t>
  </si>
  <si>
    <t>2.19.2</t>
  </si>
  <si>
    <t>Jackson module for Smile binary JSON</t>
  </si>
  <si>
    <t>jackson-dataformat-cbor</t>
  </si>
  <si>
    <t>Jackson module for CBOR binary JSON</t>
  </si>
  <si>
    <t>opensearch-geo</t>
  </si>
  <si>
    <t>Geospatial data and query support for OpenSearch</t>
  </si>
  <si>
    <t>opensearch-telemetry</t>
  </si>
  <si>
    <t>Telemetry and monitoring features for OpenSearch</t>
  </si>
  <si>
    <t>lucene-core</t>
  </si>
  <si>
    <t>9.11.1</t>
  </si>
  <si>
    <t>Core search and indexing engine powering OpenSearch</t>
  </si>
  <si>
    <t>lucene-analysis-common</t>
  </si>
  <si>
    <t>Text analysis and tokenization utilities</t>
  </si>
  <si>
    <t>lucene-backward-codecs</t>
  </si>
  <si>
    <t>Backward-compatible codecs for old Lucene versions</t>
  </si>
  <si>
    <t>lucene-grouping</t>
  </si>
  <si>
    <t>Implements result grouping and field collapsing</t>
  </si>
  <si>
    <t>lucene-highlighter</t>
  </si>
  <si>
    <t>Highlighting support for search result snippets</t>
  </si>
  <si>
    <t>lucene-join</t>
  </si>
  <si>
    <t>Supports join queries between documents</t>
  </si>
  <si>
    <t>lucene-memory</t>
  </si>
  <si>
    <t>In-memory index structures for fast search</t>
  </si>
  <si>
    <t>lucene-misc</t>
  </si>
  <si>
    <t>Miscellaneous utilities and experimental features</t>
  </si>
  <si>
    <t>lucene-queries</t>
  </si>
  <si>
    <t>Advanced query utilities and filters</t>
  </si>
  <si>
    <t>lucene-queryparser</t>
  </si>
  <si>
    <t>Parses textual queries into Lucene queries</t>
  </si>
  <si>
    <t>lucene-sandbox</t>
  </si>
  <si>
    <t>Experimental Lucene modules</t>
  </si>
  <si>
    <t>lucene-spatial-extras</t>
  </si>
  <si>
    <t>Spatial/geographic query utilities</t>
  </si>
  <si>
    <t>lucene-spatial3d</t>
  </si>
  <si>
    <t>3D geospatial shapes and indexing</t>
  </si>
  <si>
    <t>lucene-suggest</t>
  </si>
  <si>
    <t>Suggestion/autocomplete engine</t>
  </si>
  <si>
    <t>opensearch-cli</t>
  </si>
  <si>
    <t>Command-line tools for OpenSearch management</t>
  </si>
  <si>
    <t>jopt-simple</t>
  </si>
  <si>
    <t>5.0.4</t>
  </si>
  <si>
    <t>Command-line option parser</t>
  </si>
  <si>
    <t>joda-time</t>
  </si>
  <si>
    <t>2.12.7</t>
  </si>
  <si>
    <t>Date and time handling library</t>
  </si>
  <si>
    <t>t-digest</t>
  </si>
  <si>
    <t>Statistical distribution estimation for percentiles</t>
  </si>
  <si>
    <t>log4j-api</t>
  </si>
  <si>
    <t>Core Log4j 2 API</t>
  </si>
  <si>
    <t>log4j-jul</t>
  </si>
  <si>
    <t>Bridge for Java Util Logging to Log4j</t>
  </si>
  <si>
    <t>jna</t>
  </si>
  <si>
    <t>5.13.0</t>
  </si>
  <si>
    <t>LGPL-2.1-or-later OR Apache-2.0</t>
  </si>
  <si>
    <t>Java Native Access for system-level operations</t>
  </si>
  <si>
    <t>jzlib</t>
  </si>
  <si>
    <t>1.1.3</t>
  </si>
  <si>
    <t>BSD-4-Clause</t>
  </si>
  <si>
    <t>Java implementation of zlib compression</t>
  </si>
  <si>
    <t>reactor-core</t>
  </si>
  <si>
    <t>3.7.12</t>
  </si>
  <si>
    <t>Reactive programming support (Project Reactor)</t>
  </si>
  <si>
    <t>reactive-streams</t>
  </si>
  <si>
    <t>1.0.4</t>
  </si>
  <si>
    <t>MIT-0</t>
  </si>
  <si>
    <t>Minimal reactive streams specification</t>
  </si>
  <si>
    <t>protobuf-java</t>
  </si>
  <si>
    <t>3.22.3</t>
  </si>
  <si>
    <t>BSD-3-Clause</t>
  </si>
  <si>
    <t>Google Protocol Buffers serialization</t>
  </si>
  <si>
    <t>opensearch-rest-client</t>
  </si>
  <si>
    <t>Low-level REST client for OpenSearch</t>
  </si>
  <si>
    <t>httpclient</t>
  </si>
  <si>
    <t>4.5.14</t>
  </si>
  <si>
    <t>Apache HTTP client for network communication</t>
  </si>
  <si>
    <t>httpcore</t>
  </si>
  <si>
    <t>4.4.16</t>
  </si>
  <si>
    <t>Core transport components for Apache HTTP client</t>
  </si>
  <si>
    <t>httpasyncclient</t>
  </si>
  <si>
    <t>4.1.5</t>
  </si>
  <si>
    <t>Asynchronous HTTP client for non-blocking I/O</t>
  </si>
  <si>
    <t>httpcore-nio</t>
  </si>
  <si>
    <t>NIO transport layer for asynchronous HTTP</t>
  </si>
  <si>
    <t>commons-codec</t>
  </si>
  <si>
    <t>1.18.0</t>
  </si>
  <si>
    <t>Utility library for encoding/decoding formats</t>
  </si>
  <si>
    <t>commons-logging</t>
  </si>
  <si>
    <t>Lightweight logging abstraction</t>
  </si>
  <si>
    <t>mapper-extras-client</t>
  </si>
  <si>
    <t>Additional mapping features for OpenSearch</t>
  </si>
  <si>
    <t>parent-join-client</t>
  </si>
  <si>
    <t>Supports parent-child relationships in OpenSearch</t>
  </si>
  <si>
    <t>aggs-matrix-stats-client</t>
  </si>
  <si>
    <t>Advanced aggregation statistics module</t>
  </si>
  <si>
    <t>rank-eval-client</t>
  </si>
  <si>
    <t>Ranking evaluation tools for OpenSearch</t>
  </si>
  <si>
    <t>lang-mustache-client</t>
  </si>
  <si>
    <t>Template rendering support (Mustache)</t>
  </si>
  <si>
    <t>compiler</t>
  </si>
  <si>
    <t>0.9.14</t>
  </si>
  <si>
    <t>Annotation processing and compilation utilities</t>
  </si>
  <si>
    <t>jackson-dataformat-yaml</t>
  </si>
  <si>
    <t>YAML serialization and deserialization</t>
  </si>
  <si>
    <t>jackson-databind</t>
  </si>
  <si>
    <t>Object–JSON mapping framework</t>
  </si>
  <si>
    <t>jackson-annotations</t>
  </si>
  <si>
    <t>Annotations for Jackson serialization/deserialization</t>
  </si>
  <si>
    <t>jackson-core</t>
  </si>
  <si>
    <t>Core streaming JSON processor</t>
  </si>
  <si>
    <t>slf4j-api</t>
  </si>
  <si>
    <t>Unified logging abstraction layer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</si>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</sst>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yyyy-mm-dd"/>
  </numFmts>
  <fonts count="21">
    <font>
      <sz val="10.0"/>
      <color rgb="FF000000"/>
      <name val="Arial"/>
    </font>
    <font>
      <b/>
    </font>
    <font/>
    <font>
      <u/>
      <color rgb="FF1155CC"/>
      <name val="Arial"/>
    </font>
    <font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b/>
      <name val="Arial"/>
    </font>
    <font>
      <sz val="11.0"/>
      <name val="Arial"/>
    </font>
    <font>
      <u/>
      <color rgb="FF1155CC"/>
      <name val="Arial"/>
    </font>
    <font>
      <u/>
      <color rgb="FF0000FF"/>
      <name val="Arial"/>
    </font>
    <font>
      <color rgb="FF000000"/>
      <name val="Arial"/>
    </font>
    <font>
      <b/>
      <sz val="12.0"/>
    </font>
    <font>
      <color rgb="FFFFFFFF"/>
      <name val="Roboto"/>
    </font>
    <font>
      <color rgb="FF434343"/>
      <name val="Roboto"/>
    </font>
    <font>
      <color rgb="FFFFFFFF"/>
      <name val="Arial"/>
    </font>
    <font>
      <color rgb="FF000000"/>
    </font>
    <font>
      <b/>
      <sz val="10.0"/>
      <color rgb="FF000000"/>
    </font>
    <font>
      <u/>
      <color rgb="FF0000FF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ill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readingOrder="0" shrinkToFit="0" vertical="bottom" wrapText="1"/>
    </xf>
    <xf borderId="0" fillId="2" fontId="4" numFmtId="0" xfId="0" applyAlignment="1" applyFont="1">
      <alignment shrinkToFit="0" vertical="bottom" wrapText="1"/>
    </xf>
    <xf borderId="0" fillId="3" fontId="5" numFmtId="0" xfId="0" applyAlignment="1" applyFont="1">
      <alignment shrinkToFit="0" vertical="bottom" wrapText="1"/>
    </xf>
    <xf borderId="0" fillId="3" fontId="6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4" fontId="8" numFmtId="0" xfId="0" applyAlignment="1" applyFill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1"/>
    </xf>
    <xf borderId="0" fillId="2" fontId="9" numFmtId="0" xfId="0" applyAlignment="1" applyFont="1">
      <alignment shrinkToFit="0" vertical="bottom" wrapText="1"/>
    </xf>
    <xf borderId="0" fillId="2" fontId="10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readingOrder="0"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11" numFmtId="0" xfId="0" applyAlignment="1" applyFont="1">
      <alignment readingOrder="0" shrinkToFit="0" vertical="bottom" wrapText="1"/>
    </xf>
    <xf borderId="0" fillId="3" fontId="12" numFmtId="0" xfId="0" applyAlignment="1" applyFont="1">
      <alignment shrinkToFit="0" vertical="bottom" wrapText="1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8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shrinkToFit="0" vertical="bottom" wrapText="0"/>
    </xf>
    <xf borderId="0" fillId="3" fontId="4" numFmtId="164" xfId="0" applyAlignment="1" applyFont="1" applyNumberFormat="1">
      <alignment horizontal="right" shrinkToFit="0" vertical="bottom" wrapText="1"/>
    </xf>
    <xf borderId="0" fillId="3" fontId="4" numFmtId="164" xfId="0" applyAlignment="1" applyFont="1" applyNumberFormat="1">
      <alignment shrinkToFit="0" vertical="bottom" wrapText="1"/>
    </xf>
    <xf borderId="0" fillId="2" fontId="4" numFmtId="0" xfId="0" applyAlignment="1" applyFont="1">
      <alignment horizontal="center" shrinkToFit="0" vertical="bottom" wrapText="0"/>
    </xf>
    <xf borderId="0" fillId="2" fontId="4" numFmtId="165" xfId="0" applyAlignment="1" applyFont="1" applyNumberFormat="1">
      <alignment horizontal="right" shrinkToFit="0" vertical="bottom" wrapText="1"/>
    </xf>
    <xf borderId="0" fillId="2" fontId="4" numFmtId="164" xfId="0" applyAlignment="1" applyFont="1" applyNumberFormat="1">
      <alignment shrinkToFit="0" vertical="bottom" wrapText="1"/>
    </xf>
    <xf borderId="0" fillId="3" fontId="4" numFmtId="165" xfId="0" applyAlignment="1" applyFont="1" applyNumberFormat="1">
      <alignment horizontal="right" shrinkToFit="0" vertical="bottom" wrapText="1"/>
    </xf>
    <xf borderId="0" fillId="0" fontId="1" numFmtId="0" xfId="0" applyAlignment="1" applyFont="1">
      <alignment horizontal="left" readingOrder="0" shrinkToFit="0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0"/>
    </xf>
    <xf borderId="0" fillId="4" fontId="1" numFmtId="0" xfId="0" applyAlignment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3" fontId="2" numFmtId="0" xfId="0" applyAlignment="1" applyFont="1">
      <alignment readingOrder="0" shrinkToFit="0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shrinkToFit="0" wrapText="1"/>
    </xf>
    <xf borderId="0" fillId="3" fontId="4" numFmtId="0" xfId="0" applyAlignment="1" applyFont="1">
      <alignment shrinkToFit="0" vertical="top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shrinkToFit="0" wrapText="1"/>
    </xf>
    <xf borderId="0" fillId="0" fontId="2" numFmtId="2" xfId="0" applyAlignment="1" applyFont="1" applyNumberFormat="1">
      <alignment shrinkToFit="0" wrapText="1"/>
    </xf>
    <xf borderId="0" fillId="5" fontId="1" numFmtId="0" xfId="0" applyAlignment="1" applyFill="1" applyFont="1">
      <alignment readingOrder="0" shrinkToFit="0" wrapText="1"/>
    </xf>
    <xf borderId="0" fillId="0" fontId="2" numFmtId="2" xfId="0" applyAlignment="1" applyFont="1" applyNumberFormat="1">
      <alignment shrinkToFit="0" wrapText="1"/>
    </xf>
    <xf borderId="0" fillId="0" fontId="13" numFmtId="0" xfId="0" applyAlignment="1" applyFont="1">
      <alignment horizontal="center" readingOrder="0" shrinkToFit="0" wrapText="0"/>
    </xf>
    <xf borderId="0" fillId="0" fontId="1" numFmtId="0" xfId="0" applyAlignment="1" applyFont="1">
      <alignment readingOrder="0" shrinkToFit="0" wrapText="0"/>
    </xf>
    <xf borderId="0" fillId="0" fontId="14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4" fontId="8" numFmtId="0" xfId="0" applyAlignment="1" applyFont="1">
      <alignment horizontal="left" shrinkToFit="0" vertical="bottom" wrapText="1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horizontal="center" readingOrder="0" shrinkToFit="0" vertical="bottom" wrapText="1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bottom" wrapText="0"/>
    </xf>
    <xf borderId="0" fillId="6" fontId="4" numFmtId="0" xfId="0" applyAlignment="1" applyFont="1">
      <alignment shrinkToFit="0" vertical="bottom" wrapText="0"/>
    </xf>
    <xf borderId="0" fillId="6" fontId="4" numFmtId="0" xfId="0" applyAlignment="1" applyFont="1">
      <alignment shrinkToFit="0" vertical="bottom" wrapText="1"/>
    </xf>
    <xf borderId="0" fillId="2" fontId="8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2" fontId="4" numFmtId="0" xfId="0" applyAlignment="1" applyFont="1">
      <alignment shrinkToFit="0" vertical="bottom" wrapText="1"/>
    </xf>
    <xf borderId="0" fillId="2" fontId="4" numFmtId="0" xfId="0" applyAlignment="1" applyFont="1">
      <alignment horizontal="right" shrinkToFit="0" vertical="bottom" wrapText="0"/>
    </xf>
    <xf borderId="0" fillId="7" fontId="8" numFmtId="0" xfId="0" applyAlignment="1" applyFill="1" applyFont="1">
      <alignment horizontal="left" shrinkToFit="0" vertical="bottom" wrapText="0"/>
    </xf>
    <xf borderId="0" fillId="7" fontId="8" numFmtId="0" xfId="0" applyAlignment="1" applyFont="1">
      <alignment shrinkToFit="0" vertical="bottom" wrapText="0"/>
    </xf>
    <xf borderId="0" fillId="7" fontId="4" numFmtId="0" xfId="0" applyAlignment="1" applyFont="1">
      <alignment shrinkToFit="0" vertical="bottom" wrapText="1"/>
    </xf>
    <xf borderId="0" fillId="3" fontId="16" numFmtId="0" xfId="0" applyAlignment="1" applyFont="1">
      <alignment horizontal="center" shrinkToFit="0" vertical="bottom" wrapText="0"/>
    </xf>
    <xf borderId="0" fillId="2" fontId="4" numFmtId="0" xfId="0" applyAlignment="1" applyFont="1">
      <alignment horizontal="left" shrinkToFit="0" vertical="bottom" wrapText="1"/>
    </xf>
    <xf borderId="0" fillId="2" fontId="8" numFmtId="0" xfId="0" applyAlignment="1" applyFont="1">
      <alignment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0" fillId="3" fontId="4" numFmtId="0" xfId="0" applyAlignment="1" applyFont="1">
      <alignment horizontal="right" shrinkToFit="0" vertical="bottom" wrapText="0"/>
    </xf>
    <xf borderId="0" fillId="3" fontId="4" numFmtId="0" xfId="0" applyAlignment="1" applyFont="1">
      <alignment horizontal="left" readingOrder="0" shrinkToFit="0" vertical="bottom" wrapText="1"/>
    </xf>
    <xf borderId="0" fillId="2" fontId="4" numFmtId="0" xfId="0" applyAlignment="1" applyFont="1">
      <alignment horizontal="left" readingOrder="0" shrinkToFit="0" vertical="bottom" wrapText="1"/>
    </xf>
    <xf borderId="0" fillId="8" fontId="8" numFmtId="0" xfId="0" applyAlignment="1" applyFill="1" applyFont="1">
      <alignment horizontal="left" shrinkToFit="0" vertical="bottom" wrapText="0"/>
    </xf>
    <xf borderId="0" fillId="8" fontId="8" numFmtId="0" xfId="0" applyAlignment="1" applyFont="1">
      <alignment shrinkToFit="0" vertical="bottom" wrapText="0"/>
    </xf>
    <xf borderId="0" fillId="8" fontId="4" numFmtId="0" xfId="0" applyAlignment="1" applyFont="1">
      <alignment shrinkToFit="0" vertical="bottom" wrapText="1"/>
    </xf>
    <xf borderId="0" fillId="3" fontId="8" numFmtId="0" xfId="0" applyAlignment="1" applyFont="1">
      <alignment horizontal="left" shrinkToFit="0" vertical="bottom" wrapText="0"/>
    </xf>
    <xf borderId="0" fillId="3" fontId="8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0" fontId="12" numFmtId="0" xfId="0" applyAlignment="1" applyFont="1">
      <alignment readingOrder="0" shrinkToFit="0" wrapText="1"/>
    </xf>
    <xf borderId="0" fillId="3" fontId="8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4" fontId="8" numFmtId="0" xfId="0" applyAlignment="1" applyFont="1">
      <alignment shrinkToFit="0" vertical="bottom" wrapText="1"/>
    </xf>
    <xf borderId="0" fillId="7" fontId="8" numFmtId="0" xfId="0" applyAlignment="1" applyFont="1">
      <alignment shrinkToFit="0" vertical="bottom" wrapText="0"/>
    </xf>
    <xf borderId="0" fillId="3" fontId="8" numFmtId="0" xfId="0" applyAlignment="1" applyFont="1">
      <alignment readingOrder="0" shrinkToFit="0" vertical="bottom" wrapText="0"/>
    </xf>
    <xf borderId="0" fillId="2" fontId="8" numFmtId="0" xfId="0" applyAlignment="1" applyFont="1">
      <alignment horizontal="left" shrinkToFit="0" vertical="bottom" wrapText="0"/>
    </xf>
    <xf borderId="0" fillId="0" fontId="17" numFmtId="0" xfId="0" applyAlignment="1" applyFont="1">
      <alignment readingOrder="0" shrinkToFit="0" wrapText="1"/>
    </xf>
    <xf borderId="0" fillId="2" fontId="17" numFmtId="0" xfId="0" applyAlignment="1" applyFont="1">
      <alignment readingOrder="0" shrinkToFit="0" wrapText="1"/>
    </xf>
    <xf borderId="0" fillId="2" fontId="12" numFmtId="0" xfId="0" applyAlignment="1" applyFont="1">
      <alignment shrinkToFit="0" vertical="bottom" wrapText="1"/>
    </xf>
    <xf borderId="0" fillId="2" fontId="12" numFmtId="0" xfId="0" applyAlignment="1" applyFont="1">
      <alignment horizontal="right" readingOrder="0" shrinkToFit="0" vertical="bottom" wrapText="1"/>
    </xf>
    <xf borderId="0" fillId="3" fontId="17" numFmtId="0" xfId="0" applyAlignment="1" applyFont="1">
      <alignment readingOrder="0" shrinkToFit="0" wrapText="1"/>
    </xf>
    <xf borderId="0" fillId="2" fontId="18" numFmtId="0" xfId="0" applyAlignment="1" applyFont="1">
      <alignment readingOrder="0" shrinkToFit="0" wrapText="0"/>
    </xf>
    <xf borderId="0" fillId="2" fontId="8" numFmtId="0" xfId="0" applyAlignment="1" applyFont="1">
      <alignment horizontal="left" readingOrder="0" shrinkToFit="0" vertical="bottom" wrapText="1"/>
    </xf>
    <xf borderId="0" fillId="2" fontId="8" numFmtId="0" xfId="0" applyAlignment="1" applyFont="1">
      <alignment shrinkToFit="0" vertical="bottom" wrapText="1"/>
    </xf>
    <xf borderId="0" fillId="4" fontId="8" numFmtId="0" xfId="0" applyAlignment="1" applyFont="1">
      <alignment shrinkToFit="0" vertical="top" wrapText="1"/>
    </xf>
    <xf borderId="0" fillId="4" fontId="8" numFmtId="0" xfId="0" applyAlignment="1" applyFont="1">
      <alignment shrinkToFit="0" vertical="top" wrapText="0"/>
    </xf>
    <xf borderId="0" fillId="4" fontId="8" numFmtId="0" xfId="0" applyAlignment="1" applyFont="1">
      <alignment readingOrder="0" shrinkToFit="0" vertical="top" wrapText="0"/>
    </xf>
    <xf borderId="0" fillId="3" fontId="4" numFmtId="0" xfId="0" applyAlignment="1" applyFont="1">
      <alignment shrinkToFit="0" vertical="top" wrapText="1"/>
    </xf>
    <xf borderId="0" fillId="3" fontId="4" numFmtId="0" xfId="0" applyAlignment="1" applyFont="1">
      <alignment readingOrder="0" shrinkToFit="0" vertical="top" wrapText="1"/>
    </xf>
    <xf borderId="0" fillId="3" fontId="2" numFmtId="0" xfId="0" applyAlignment="1" applyFont="1">
      <alignment readingOrder="0" shrinkToFit="0" vertical="top" wrapText="1"/>
    </xf>
    <xf borderId="0" fillId="2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3" fontId="4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19" numFmtId="0" xfId="0" applyAlignment="1" applyFont="1">
      <alignment readingOrder="0" shrinkToFit="0" wrapText="1"/>
    </xf>
    <xf borderId="0" fillId="0" fontId="17" numFmtId="0" xfId="0" applyAlignment="1" applyFont="1">
      <alignment horizontal="right" readingOrder="0" shrinkToFit="0" vertical="bottom" wrapText="1"/>
    </xf>
    <xf borderId="0" fillId="0" fontId="17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righ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4" fontId="8" numFmtId="0" xfId="0" applyAlignment="1" applyFont="1">
      <alignment shrinkToFit="0" vertical="center" wrapText="1"/>
    </xf>
    <xf borderId="0" fillId="4" fontId="8" numFmtId="0" xfId="0" applyAlignment="1" applyFont="1">
      <alignment horizontal="center" shrinkToFit="0" vertical="center" wrapText="1"/>
    </xf>
    <xf borderId="0" fillId="4" fontId="8" numFmtId="4" xfId="0" applyAlignment="1" applyFont="1" applyNumberFormat="1">
      <alignment shrinkToFit="0" vertical="center" wrapText="1"/>
    </xf>
    <xf borderId="0" fillId="4" fontId="4" numFmtId="4" xfId="0" applyAlignment="1" applyFont="1" applyNumberFormat="1">
      <alignment shrinkToFit="0" vertical="center" wrapText="1"/>
    </xf>
    <xf borderId="0" fillId="4" fontId="4" numFmtId="0" xfId="0" applyAlignment="1" applyFont="1">
      <alignment shrinkToFit="0" vertical="center" wrapText="1"/>
    </xf>
    <xf borderId="0" fillId="4" fontId="1" numFmtId="0" xfId="0" applyAlignment="1" applyFont="1">
      <alignment shrinkToFit="0" vertical="center" wrapText="1"/>
    </xf>
    <xf borderId="0" fillId="3" fontId="8" numFmtId="0" xfId="0" applyAlignment="1" applyFont="1">
      <alignment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3" fontId="4" numFmtId="4" xfId="0" applyAlignment="1" applyFont="1" applyNumberFormat="1">
      <alignment shrinkToFit="0" vertical="center" wrapText="1"/>
    </xf>
    <xf borderId="0" fillId="8" fontId="20" numFmtId="4" xfId="0" applyAlignment="1" applyFont="1" applyNumberFormat="1">
      <alignment horizontal="center" shrinkToFit="0" vertical="center" wrapText="1"/>
    </xf>
    <xf borderId="0" fillId="8" fontId="20" numFmtId="0" xfId="0" applyAlignment="1" applyFont="1">
      <alignment horizontal="center" shrinkToFit="0" vertical="center" wrapText="1"/>
    </xf>
    <xf borderId="0" fillId="3" fontId="2" numFmtId="0" xfId="0" applyAlignment="1" applyFont="1">
      <alignment shrinkToFit="0" vertical="center" wrapText="1"/>
    </xf>
    <xf borderId="0" fillId="2" fontId="8" numFmtId="0" xfId="0" applyAlignment="1" applyFont="1">
      <alignment shrinkToFit="0" vertical="center" wrapText="1"/>
    </xf>
    <xf borderId="0" fillId="2" fontId="4" numFmtId="4" xfId="0" applyAlignment="1" applyFont="1" applyNumberFormat="1">
      <alignment shrinkToFit="0" vertical="center" wrapText="1"/>
    </xf>
    <xf borderId="0" fillId="2" fontId="2" numFmtId="0" xfId="0" applyAlignment="1" applyFont="1">
      <alignment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2" fontId="4" numFmtId="0" xfId="0" applyAlignment="1" applyFont="1">
      <alignment shrinkToFit="0" vertical="center" wrapText="1"/>
    </xf>
    <xf borderId="0" fillId="3" fontId="4" numFmtId="0" xfId="0" applyAlignment="1" applyFont="1">
      <alignment shrinkToFit="0" vertical="center" wrapText="1"/>
    </xf>
    <xf borderId="0" fillId="7" fontId="4" numFmtId="0" xfId="0" applyAlignment="1" applyFont="1">
      <alignment horizontal="center" shrinkToFit="0" vertical="center" wrapText="1"/>
    </xf>
    <xf borderId="0" fillId="7" fontId="4" numFmtId="0" xfId="0" applyAlignment="1" applyFont="1">
      <alignment readingOrder="0" shrinkToFit="0" vertical="center" wrapText="1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0"/>
    </xf>
    <xf borderId="0" fillId="2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2" fontId="2" numFmtId="0" xfId="0" applyAlignment="1" applyFont="1">
      <alignment shrinkToFit="0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3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4" pivot="0" name="Velocity Chart-style">
      <tableStyleElement dxfId="4" type="headerRow"/>
      <tableStyleElement dxfId="2" type="firstRowStripe"/>
      <tableStyleElement dxfId="5" type="secondRowStripe"/>
      <tableStyleElement dxfId="6" size="0" type="wholeTabl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3" Type="http://schemas.openxmlformats.org/officeDocument/2006/relationships/worksheet" Target="worksheets/sheet11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15" Type="http://schemas.openxmlformats.org/officeDocument/2006/relationships/worksheet" Target="worksheets/sheet13.xml"/><Relationship Id="rId14" Type="http://schemas.openxmlformats.org/officeDocument/2006/relationships/worksheet" Target="worksheets/sheet12.xml"/><Relationship Id="rId17" Type="http://schemas.openxmlformats.org/officeDocument/2006/relationships/worksheet" Target="worksheets/sheet15.xml"/><Relationship Id="rId16" Type="http://schemas.openxmlformats.org/officeDocument/2006/relationships/worksheet" Target="worksheets/sheet14.xml"/><Relationship Id="rId5" Type="http://schemas.openxmlformats.org/officeDocument/2006/relationships/worksheet" Target="worksheets/sheet3.xml"/><Relationship Id="rId19" Type="http://schemas.openxmlformats.org/officeDocument/2006/relationships/worksheet" Target="worksheets/sheet17.xml"/><Relationship Id="rId6" Type="http://schemas.openxmlformats.org/officeDocument/2006/relationships/worksheet" Target="worksheets/sheet4.xml"/><Relationship Id="rId18" Type="http://schemas.openxmlformats.org/officeDocument/2006/relationships/worksheet" Target="worksheets/sheet1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Story Points Realized und Sprint #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Pt>
            <c:idx val="1"/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</c:ser>
        <c:axId val="273314141"/>
        <c:axId val="660333525"/>
      </c:barChart>
      <c:lineChart>
        <c:varyColors val="0"/>
        <c:ser>
          <c:idx val="1"/>
          <c:order val="1"/>
          <c:spPr>
            <a:ln cmpd="sng">
              <a:solidFill>
                <a:srgbClr val="DB4437">
                  <a:alpha val="100000"/>
                </a:srgbClr>
              </a:solidFill>
              <a:prstDash val="solid"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  <c:smooth val="0"/>
        </c:ser>
        <c:axId val="273314141"/>
        <c:axId val="660333525"/>
      </c:lineChart>
      <c:catAx>
        <c:axId val="273314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Sprint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60333525"/>
      </c:catAx>
      <c:valAx>
        <c:axId val="660333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Story Points Realized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733141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0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r>
              <a:rPr b="0" i="0">
                <a:solidFill>
                  <a:srgbClr val="000000"/>
                </a:solidFill>
                <a:latin typeface="Roboto"/>
              </a:rPr>
              <a:t>Velocity Chart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'Velocity Chart'!$B$29</c:f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'Velocity Chart'!$A$30:$A$46</c:f>
            </c:strRef>
          </c:cat>
          <c:val>
            <c:numRef>
              <c:f>'Velocity Chart'!$B$30:$B$46</c:f>
              <c:numCache/>
            </c:numRef>
          </c:val>
        </c:ser>
        <c:ser>
          <c:idx val="1"/>
          <c:order val="1"/>
          <c:tx>
            <c:strRef>
              <c:f>'Velocity Chart'!$C$29</c:f>
            </c:strRef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cat>
            <c:strRef>
              <c:f>'Velocity Chart'!$A$30:$A$46</c:f>
            </c:strRef>
          </c:cat>
          <c:val>
            <c:numRef>
              <c:f>'Velocity Chart'!$C$30:$C$46</c:f>
              <c:numCache/>
            </c:numRef>
          </c:val>
        </c:ser>
        <c:axId val="727322734"/>
        <c:axId val="250813228"/>
      </c:barChart>
      <c:lineChart>
        <c:ser>
          <c:idx val="2"/>
          <c:order val="2"/>
          <c:tx>
            <c:strRef>
              <c:f>'Velocity Chart'!$D$29</c:f>
            </c:strRef>
          </c:tx>
          <c:spPr>
            <a:ln cmpd="sng">
              <a:solidFill>
                <a:srgbClr val="F4B400"/>
              </a:solidFill>
            </a:ln>
          </c:spPr>
          <c:marker>
            <c:symbol val="none"/>
          </c:marker>
          <c:cat>
            <c:strRef>
              <c:f>'Velocity Chart'!$A$30:$A$46</c:f>
            </c:strRef>
          </c:cat>
          <c:val>
            <c:numRef>
              <c:f>'Velocity Chart'!$D$30:$D$46</c:f>
              <c:numCache/>
            </c:numRef>
          </c:val>
          <c:smooth val="0"/>
        </c:ser>
        <c:ser>
          <c:idx val="3"/>
          <c:order val="3"/>
          <c:tx>
            <c:strRef>
              <c:f>'Velocity Chart'!$E$29</c:f>
            </c:strRef>
          </c:tx>
          <c:spPr>
            <a:ln cmpd="sng">
              <a:solidFill>
                <a:srgbClr val="0F9D58"/>
              </a:solidFill>
            </a:ln>
          </c:spPr>
          <c:marker>
            <c:symbol val="none"/>
          </c:marker>
          <c:cat>
            <c:strRef>
              <c:f>'Velocity Chart'!$A$30:$A$46</c:f>
            </c:strRef>
          </c:cat>
          <c:val>
            <c:numRef>
              <c:f>'Velocity Chart'!$E$30:$E$46</c:f>
              <c:numCache/>
            </c:numRef>
          </c:val>
          <c:smooth val="0"/>
        </c:ser>
        <c:axId val="727322734"/>
        <c:axId val="250813228"/>
      </c:lineChart>
      <c:catAx>
        <c:axId val="727322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Roboto"/>
                  </a:defRPr>
                </a:pPr>
                <a:r>
                  <a:rPr b="0" i="0">
                    <a:solidFill>
                      <a:srgbClr val="000000"/>
                    </a:solidFill>
                    <a:latin typeface="Roboto"/>
                  </a:rPr>
                  <a:t>Sprint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</a:p>
        </c:txPr>
        <c:crossAx val="250813228"/>
      </c:catAx>
      <c:valAx>
        <c:axId val="2508132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</a:p>
        </c:txPr>
        <c:crossAx val="72732273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plan'!$A$9:$A$15</c:f>
            </c:strRef>
          </c:cat>
          <c:val>
            <c:numRef>
              <c:f>'Mid-Project Release plan'!$E$9:$E$15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plan'!$A$9:$A$15</c:f>
            </c:strRef>
          </c:cat>
          <c:val>
            <c:numRef>
              <c:f>'Mid-Project Release plan'!$G$9:$G$14</c:f>
              <c:numCache/>
            </c:numRef>
          </c:val>
        </c:ser>
        <c:axId val="236213830"/>
        <c:axId val="1543481338"/>
      </c:barChart>
      <c:catAx>
        <c:axId val="2362138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43481338"/>
      </c:catAx>
      <c:valAx>
        <c:axId val="15434813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362138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'Final Project Release plan'!$A$9:$A$18</c:f>
            </c:strRef>
          </c:cat>
          <c:val>
            <c:numRef>
              <c:f>'Final Project Release plan'!$E$9:$E$17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'Final Project Release plan'!$A$9:$A$18</c:f>
            </c:strRef>
          </c:cat>
          <c:val>
            <c:numRef>
              <c:f>'Final Project Release plan'!$G$9:$G$10</c:f>
              <c:numCache/>
            </c:numRef>
          </c:val>
        </c:ser>
        <c:axId val="1444256783"/>
        <c:axId val="1287176455"/>
      </c:barChart>
      <c:catAx>
        <c:axId val="144425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87176455"/>
      </c:catAx>
      <c:valAx>
        <c:axId val="12871764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442567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5715000" cy="3533775"/>
    <xdr:graphicFrame>
      <xdr:nvGraphicFramePr>
        <xdr:cNvPr id="1" name="Chart 1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152400</xdr:colOff>
      <xdr:row>27</xdr:row>
      <xdr:rowOff>276225</xdr:rowOff>
    </xdr:from>
    <xdr:ext cx="7562850" cy="4676775"/>
    <xdr:graphicFrame>
      <xdr:nvGraphicFramePr>
        <xdr:cNvPr id="2" name="Chart 2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3" name="Chart 3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4" name="Chart 4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...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36" displayName="Table_4" name="Table_4" id="4">
  <tableColumns count="2">
    <tableColumn name="Goals" id="1"/>
    <tableColumn name="achieve the project goal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44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ref="A1:C20" displayName="Table_7" name="Table_7" id="7">
  <tableColumns count="3">
    <tableColumn name="Sprint #" id="1"/>
    <tableColumn name="Story Points Realized" id="2"/>
    <tableColumn name="Avg" id="3"/>
  </tableColumns>
  <tableStyleInfo name="Velocity Tracking-style" showColumnStripes="0" showFirstColumn="1" showLastColumn="1" showRowStripes="1"/>
</table>
</file>

<file path=xl/tables/table8.xml><?xml version="1.0" encoding="utf-8"?>
<table xmlns="http://schemas.openxmlformats.org/spreadsheetml/2006/main" ref="A29:E46" displayName="DataForVelocityChart" name="DataForVelocityChart" id="8">
  <tableColumns count="5">
    <tableColumn name="Sprint" id="1"/>
    <tableColumn name="Storypoints Planned" id="2"/>
    <tableColumn name="Storypoints Realized" id="3"/>
    <tableColumn name="Average Planned" id="4"/>
    <tableColumn name="Average Realized" id="5"/>
  </tableColumns>
  <tableStyleInfo name="Velocity Chart-style" showColumnStripes="0" showFirstColumn="1" showLastColumn="1" showRowStripes="1"/>
</table>
</file>

<file path=xl/tables/table9.xml><?xml version="1.0" encoding="utf-8"?>
<table xmlns="http://schemas.openxmlformats.org/spreadsheetml/2006/main" ref="A1:G74" displayName="Table_8" name="Table_8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G1033" displayName="Table_9" name="Table_9" id="10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1.xml><?xml version="1.0" encoding="utf-8"?>
<table xmlns="http://schemas.openxmlformats.org/spreadsheetml/2006/main" ref="A1:D20" displayName="Table_10" name="Table_10" id="11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2.xml><?xml version="1.0" encoding="utf-8"?>
<table xmlns="http://schemas.openxmlformats.org/spreadsheetml/2006/main" ref="A1:B20" displayName="Table_11" name="Table_11" id="12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3.xml><?xml version="1.0" encoding="utf-8"?>
<table xmlns="http://schemas.openxmlformats.org/spreadsheetml/2006/main" ref="A1:F88" displayName="Table_12" name="Table_12" id="13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3913240515?pwd=TWo2NkZmaVZFWDVKckNKVzQyRG4zdz09" TargetMode="External"/><Relationship Id="rId2" Type="http://schemas.openxmlformats.org/officeDocument/2006/relationships/hyperlink" Target="https://github.com/amosproj/amos2025ws01-opensearch-load-tester" TargetMode="External"/><Relationship Id="rId3" Type="http://schemas.openxmlformats.org/officeDocument/2006/relationships/hyperlink" Target="https://github.com/orgs/amosproj/projects/89/views/2" TargetMode="External"/><Relationship Id="rId4" Type="http://schemas.openxmlformats.org/officeDocument/2006/relationships/hyperlink" Target="https://github.com/orgs/amosproj/projects/93/views/1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www.shirtinator.de/en/s/nasAq-u7RjO3FQ4BPPUSLw" TargetMode="External"/><Relationship Id="rId6" Type="http://schemas.openxmlformats.org/officeDocument/2006/relationships/hyperlink" Target="https://www.shirtinator.de/en/s/0VuwTYIwRviJfsV7ERwamA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lea.buchner@fau.de" TargetMode="External"/><Relationship Id="rId2" Type="http://schemas.openxmlformats.org/officeDocument/2006/relationships/hyperlink" Target="mailto:carlostrachwitz@gmail.com" TargetMode="External"/><Relationship Id="rId3" Type="http://schemas.openxmlformats.org/officeDocument/2006/relationships/hyperlink" Target="mailto:sara.belz@fau.de" TargetMode="External"/><Relationship Id="rId4" Type="http://schemas.openxmlformats.org/officeDocument/2006/relationships/hyperlink" Target="mailto:eugen.becker@fau.de" TargetMode="External"/><Relationship Id="rId5" Type="http://schemas.openxmlformats.org/officeDocument/2006/relationships/hyperlink" Target="mailto:sebastian.knecht@fau.de" TargetMode="External"/><Relationship Id="rId6" Type="http://schemas.openxmlformats.org/officeDocument/2006/relationships/drawing" Target="../drawings/drawing2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amosproj/amos2025ws01-opensearch-load-tester/wiki" TargetMode="External"/><Relationship Id="rId2" Type="http://schemas.openxmlformats.org/officeDocument/2006/relationships/drawing" Target="../drawings/drawing15.xml"/><Relationship Id="rId4" Type="http://schemas.openxmlformats.org/officeDocument/2006/relationships/table" Target="../tables/table1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2"/>
    </row>
    <row r="3">
      <c r="A3" s="3" t="s">
        <v>2</v>
      </c>
      <c r="B3" s="4" t="s">
        <v>3</v>
      </c>
    </row>
    <row r="4">
      <c r="A4" s="1"/>
      <c r="B4" s="5"/>
    </row>
    <row r="5">
      <c r="A5" s="3" t="s">
        <v>4</v>
      </c>
      <c r="B5" s="6" t="s">
        <v>5</v>
      </c>
    </row>
    <row r="6">
      <c r="A6" s="3" t="s">
        <v>6</v>
      </c>
      <c r="B6" s="7" t="s">
        <v>5</v>
      </c>
    </row>
    <row r="7">
      <c r="A7" s="1"/>
      <c r="B7" s="8"/>
    </row>
    <row r="8">
      <c r="A8" s="3" t="s">
        <v>7</v>
      </c>
      <c r="B8" s="9" t="s">
        <v>8</v>
      </c>
    </row>
    <row r="9">
      <c r="A9" s="3" t="s">
        <v>9</v>
      </c>
      <c r="B9" s="4" t="s">
        <v>10</v>
      </c>
    </row>
    <row r="10">
      <c r="A10" s="3" t="s">
        <v>11</v>
      </c>
      <c r="B10" s="10" t="s">
        <v>12</v>
      </c>
    </row>
    <row r="11">
      <c r="A11" s="1"/>
      <c r="B11" s="2"/>
    </row>
    <row r="12">
      <c r="A12" s="3" t="s">
        <v>13</v>
      </c>
      <c r="B12" s="11" t="s">
        <v>14</v>
      </c>
    </row>
    <row r="13">
      <c r="A13" s="3" t="s">
        <v>15</v>
      </c>
      <c r="B13" s="11" t="s">
        <v>16</v>
      </c>
    </row>
    <row r="14">
      <c r="A14" s="1"/>
      <c r="B14" s="2"/>
    </row>
    <row r="15">
      <c r="A15" s="1" t="s">
        <v>17</v>
      </c>
      <c r="B15" s="2" t="s">
        <v>1</v>
      </c>
    </row>
    <row r="16">
      <c r="A16" s="1"/>
      <c r="B16" s="2"/>
    </row>
    <row r="17">
      <c r="A17" s="3" t="s">
        <v>18</v>
      </c>
      <c r="B17" s="12" t="s">
        <v>19</v>
      </c>
    </row>
    <row r="18">
      <c r="A18" s="1"/>
      <c r="B18" s="2"/>
    </row>
    <row r="19">
      <c r="A19" s="1"/>
      <c r="B19" s="2"/>
    </row>
    <row r="20">
      <c r="A20" s="1"/>
      <c r="B20" s="2"/>
    </row>
  </sheetData>
  <hyperlinks>
    <hyperlink r:id="rId1" ref="B3"/>
    <hyperlink r:id="rId2" ref="B8"/>
    <hyperlink r:id="rId3" ref="B9"/>
    <hyperlink r:id="rId4" ref="B10"/>
    <hyperlink r:id="rId5" ref="B12"/>
    <hyperlink r:id="rId6" ref="B1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13" t="s">
        <v>20</v>
      </c>
      <c r="B1" s="13" t="s">
        <v>21</v>
      </c>
      <c r="C1" s="13" t="s">
        <v>22</v>
      </c>
      <c r="D1" s="13" t="s">
        <v>23</v>
      </c>
    </row>
    <row r="2">
      <c r="A2" s="14" t="s">
        <v>24</v>
      </c>
      <c r="B2" s="14" t="s">
        <v>25</v>
      </c>
      <c r="C2" s="14" t="s">
        <v>26</v>
      </c>
      <c r="D2" s="14" t="s">
        <v>27</v>
      </c>
    </row>
    <row r="3">
      <c r="A3" s="15" t="s">
        <v>28</v>
      </c>
      <c r="B3" s="16" t="s">
        <v>29</v>
      </c>
      <c r="C3" s="15" t="s">
        <v>30</v>
      </c>
      <c r="D3" s="4" t="s">
        <v>31</v>
      </c>
    </row>
    <row r="4">
      <c r="A4" s="5" t="s">
        <v>32</v>
      </c>
      <c r="B4" s="5" t="s">
        <v>33</v>
      </c>
      <c r="C4" s="5" t="s">
        <v>34</v>
      </c>
      <c r="D4" s="5" t="s">
        <v>35</v>
      </c>
    </row>
    <row r="5">
      <c r="A5" s="8" t="s">
        <v>36</v>
      </c>
      <c r="B5" s="8" t="s">
        <v>37</v>
      </c>
      <c r="C5" s="8" t="s">
        <v>38</v>
      </c>
      <c r="D5" s="17" t="s">
        <v>39</v>
      </c>
    </row>
    <row r="6">
      <c r="A6" s="5" t="s">
        <v>40</v>
      </c>
      <c r="B6" s="18" t="s">
        <v>41</v>
      </c>
      <c r="C6" s="5" t="s">
        <v>42</v>
      </c>
      <c r="D6" s="9" t="s">
        <v>43</v>
      </c>
    </row>
    <row r="7">
      <c r="A7" s="8" t="s">
        <v>44</v>
      </c>
      <c r="B7" s="15" t="s">
        <v>45</v>
      </c>
      <c r="C7" s="8" t="s">
        <v>46</v>
      </c>
      <c r="D7" s="17" t="s">
        <v>47</v>
      </c>
    </row>
    <row r="8">
      <c r="A8" s="19" t="s">
        <v>48</v>
      </c>
      <c r="B8" s="19" t="s">
        <v>49</v>
      </c>
      <c r="C8" s="19" t="s">
        <v>50</v>
      </c>
      <c r="D8" s="19" t="s">
        <v>51</v>
      </c>
    </row>
    <row r="9">
      <c r="A9" s="20" t="s">
        <v>52</v>
      </c>
      <c r="B9" s="21" t="s">
        <v>53</v>
      </c>
      <c r="C9" s="8" t="s">
        <v>54</v>
      </c>
      <c r="D9" s="22" t="s">
        <v>55</v>
      </c>
    </row>
    <row r="10">
      <c r="A10" s="5"/>
      <c r="B10" s="18"/>
      <c r="C10" s="5"/>
      <c r="D10" s="23"/>
    </row>
    <row r="11">
      <c r="A11" s="24"/>
      <c r="B11" s="25"/>
      <c r="C11" s="24"/>
      <c r="D11" s="24"/>
    </row>
    <row r="12">
      <c r="A12" s="24"/>
      <c r="B12" s="24"/>
      <c r="C12" s="24"/>
      <c r="D12" s="24"/>
    </row>
    <row r="13">
      <c r="A13" s="26"/>
      <c r="B13" s="27"/>
      <c r="C13" s="27"/>
      <c r="D13" s="27"/>
    </row>
    <row r="14">
      <c r="A14" s="24"/>
      <c r="B14" s="25"/>
      <c r="C14" s="24"/>
      <c r="D14" s="24"/>
    </row>
    <row r="15">
      <c r="A15" s="24"/>
      <c r="B15" s="25"/>
      <c r="C15" s="24"/>
      <c r="D15" s="24"/>
    </row>
    <row r="16">
      <c r="A16" s="24"/>
      <c r="B16" s="24"/>
      <c r="C16" s="24"/>
      <c r="D16" s="24"/>
    </row>
    <row r="17">
      <c r="A17" s="24"/>
      <c r="B17" s="24"/>
      <c r="C17" s="24"/>
      <c r="D17" s="24"/>
    </row>
    <row r="18">
      <c r="A18" s="24"/>
      <c r="B18" s="24"/>
      <c r="C18" s="24"/>
      <c r="D18" s="24"/>
    </row>
    <row r="19">
      <c r="A19" s="24"/>
      <c r="B19" s="24"/>
      <c r="C19" s="24"/>
      <c r="D19" s="24"/>
    </row>
    <row r="20">
      <c r="A20" s="24"/>
      <c r="B20" s="24"/>
      <c r="C20" s="24"/>
      <c r="D20" s="24"/>
    </row>
  </sheetData>
  <hyperlinks>
    <hyperlink r:id="rId1" ref="D3"/>
    <hyperlink r:id="rId2" ref="D5"/>
    <hyperlink r:id="rId3" ref="D6"/>
    <hyperlink r:id="rId4" ref="D7"/>
    <hyperlink r:id="rId5" ref="D9"/>
  </hyperlinks>
  <drawing r:id="rId6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28"/>
      <c r="B1" s="28"/>
      <c r="C1" s="29" t="s">
        <v>56</v>
      </c>
      <c r="E1" s="28"/>
      <c r="F1" s="30"/>
      <c r="G1" s="30"/>
      <c r="H1" s="28"/>
    </row>
    <row r="2">
      <c r="A2" s="31" t="s">
        <v>57</v>
      </c>
      <c r="B2" s="31" t="s">
        <v>58</v>
      </c>
      <c r="C2" s="31" t="s">
        <v>59</v>
      </c>
      <c r="D2" s="31" t="s">
        <v>60</v>
      </c>
      <c r="E2" s="31" t="s">
        <v>61</v>
      </c>
      <c r="F2" s="32" t="s">
        <v>62</v>
      </c>
      <c r="G2" s="32" t="s">
        <v>63</v>
      </c>
      <c r="H2" s="31" t="s">
        <v>64</v>
      </c>
    </row>
    <row r="3">
      <c r="A3" s="33">
        <v>1.0</v>
      </c>
      <c r="B3" s="34">
        <v>45945.0</v>
      </c>
      <c r="C3" s="14" t="s">
        <v>65</v>
      </c>
      <c r="D3" s="14" t="s">
        <v>65</v>
      </c>
      <c r="E3" s="14" t="s">
        <v>66</v>
      </c>
      <c r="F3" s="14" t="s">
        <v>67</v>
      </c>
      <c r="G3" s="14" t="s">
        <v>68</v>
      </c>
      <c r="H3" s="35"/>
    </row>
    <row r="4">
      <c r="A4" s="36">
        <v>2.0</v>
      </c>
      <c r="B4" s="37">
        <f t="shared" ref="B4:B12" si="1">B3+7</f>
        <v>45952</v>
      </c>
      <c r="C4" s="6" t="s">
        <v>69</v>
      </c>
      <c r="D4" s="6" t="s">
        <v>70</v>
      </c>
      <c r="E4" s="21" t="s">
        <v>66</v>
      </c>
      <c r="F4" s="6" t="s">
        <v>67</v>
      </c>
      <c r="G4" s="21" t="s">
        <v>68</v>
      </c>
      <c r="H4" s="38"/>
    </row>
    <row r="5">
      <c r="A5" s="33">
        <v>3.0</v>
      </c>
      <c r="B5" s="39">
        <f t="shared" si="1"/>
        <v>45959</v>
      </c>
      <c r="C5" s="6" t="s">
        <v>70</v>
      </c>
      <c r="D5" s="6" t="s">
        <v>69</v>
      </c>
      <c r="E5" s="14" t="s">
        <v>66</v>
      </c>
      <c r="F5" s="7" t="s">
        <v>71</v>
      </c>
      <c r="G5" s="14" t="s">
        <v>68</v>
      </c>
      <c r="H5" s="35"/>
    </row>
    <row r="6">
      <c r="A6" s="36">
        <v>4.0</v>
      </c>
      <c r="B6" s="37">
        <f t="shared" si="1"/>
        <v>45966</v>
      </c>
      <c r="C6" s="6" t="s">
        <v>69</v>
      </c>
      <c r="D6" s="6" t="s">
        <v>70</v>
      </c>
      <c r="E6" s="21" t="s">
        <v>66</v>
      </c>
      <c r="F6" s="7" t="s">
        <v>71</v>
      </c>
      <c r="G6" s="21" t="s">
        <v>68</v>
      </c>
      <c r="H6" s="40" t="s">
        <v>72</v>
      </c>
    </row>
    <row r="7">
      <c r="A7" s="33">
        <v>5.0</v>
      </c>
      <c r="B7" s="39">
        <f t="shared" si="1"/>
        <v>45973</v>
      </c>
      <c r="C7" s="6" t="s">
        <v>70</v>
      </c>
      <c r="D7" s="6" t="s">
        <v>69</v>
      </c>
      <c r="E7" s="14" t="s">
        <v>66</v>
      </c>
      <c r="F7" s="7" t="s">
        <v>73</v>
      </c>
      <c r="G7" s="14" t="s">
        <v>68</v>
      </c>
      <c r="H7" s="35"/>
    </row>
    <row r="8">
      <c r="A8" s="36">
        <v>6.0</v>
      </c>
      <c r="B8" s="37">
        <f t="shared" si="1"/>
        <v>45980</v>
      </c>
      <c r="C8" s="6" t="s">
        <v>69</v>
      </c>
      <c r="D8" s="6" t="s">
        <v>70</v>
      </c>
      <c r="E8" s="21" t="s">
        <v>66</v>
      </c>
      <c r="F8" s="6" t="s">
        <v>74</v>
      </c>
      <c r="G8" s="21" t="s">
        <v>68</v>
      </c>
      <c r="H8" s="38"/>
    </row>
    <row r="9">
      <c r="A9" s="33">
        <v>7.0</v>
      </c>
      <c r="B9" s="39">
        <f t="shared" si="1"/>
        <v>45987</v>
      </c>
      <c r="C9" s="6" t="s">
        <v>70</v>
      </c>
      <c r="D9" s="6" t="s">
        <v>69</v>
      </c>
      <c r="E9" s="41" t="s">
        <v>66</v>
      </c>
      <c r="F9" s="7" t="s">
        <v>75</v>
      </c>
      <c r="G9" s="14" t="s">
        <v>68</v>
      </c>
      <c r="H9" s="14" t="s">
        <v>76</v>
      </c>
    </row>
    <row r="10">
      <c r="A10" s="36">
        <v>8.0</v>
      </c>
      <c r="B10" s="37">
        <f t="shared" si="1"/>
        <v>45994</v>
      </c>
      <c r="C10" s="6" t="s">
        <v>69</v>
      </c>
      <c r="D10" s="6" t="s">
        <v>70</v>
      </c>
      <c r="E10" s="20" t="s">
        <v>66</v>
      </c>
      <c r="F10" s="6" t="s">
        <v>77</v>
      </c>
      <c r="G10" s="21" t="s">
        <v>68</v>
      </c>
      <c r="H10" s="38"/>
    </row>
    <row r="11">
      <c r="A11" s="33">
        <v>9.0</v>
      </c>
      <c r="B11" s="39">
        <f t="shared" si="1"/>
        <v>46001</v>
      </c>
      <c r="C11" s="6" t="s">
        <v>70</v>
      </c>
      <c r="D11" s="6" t="s">
        <v>69</v>
      </c>
      <c r="E11" s="41" t="s">
        <v>66</v>
      </c>
      <c r="F11" s="6" t="s">
        <v>77</v>
      </c>
      <c r="G11" s="14" t="s">
        <v>68</v>
      </c>
      <c r="H11" s="35"/>
    </row>
    <row r="12">
      <c r="A12" s="36">
        <v>10.0</v>
      </c>
      <c r="B12" s="37">
        <f t="shared" si="1"/>
        <v>46008</v>
      </c>
      <c r="C12" s="6" t="s">
        <v>69</v>
      </c>
      <c r="D12" s="6" t="s">
        <v>70</v>
      </c>
      <c r="E12" s="20" t="s">
        <v>66</v>
      </c>
      <c r="F12" s="7" t="s">
        <v>73</v>
      </c>
      <c r="G12" s="21" t="s">
        <v>68</v>
      </c>
      <c r="H12" s="6" t="s">
        <v>78</v>
      </c>
    </row>
    <row r="13">
      <c r="A13" s="33">
        <v>11.0</v>
      </c>
      <c r="B13" s="39">
        <v>46029.0</v>
      </c>
      <c r="C13" s="6" t="s">
        <v>70</v>
      </c>
      <c r="D13" s="6" t="s">
        <v>69</v>
      </c>
      <c r="E13" s="41" t="s">
        <v>66</v>
      </c>
      <c r="F13" s="6" t="s">
        <v>74</v>
      </c>
      <c r="G13" s="14" t="s">
        <v>68</v>
      </c>
      <c r="H13" s="7" t="s">
        <v>79</v>
      </c>
    </row>
    <row r="14">
      <c r="A14" s="36">
        <v>12.0</v>
      </c>
      <c r="B14" s="37">
        <f t="shared" ref="B14:B17" si="2">B13+7</f>
        <v>46036</v>
      </c>
      <c r="C14" s="6" t="s">
        <v>69</v>
      </c>
      <c r="D14" s="6" t="s">
        <v>70</v>
      </c>
      <c r="E14" s="20" t="s">
        <v>66</v>
      </c>
      <c r="F14" s="7" t="s">
        <v>75</v>
      </c>
      <c r="G14" s="21" t="s">
        <v>68</v>
      </c>
      <c r="H14" s="38"/>
    </row>
    <row r="15">
      <c r="A15" s="33">
        <v>13.0</v>
      </c>
      <c r="B15" s="39">
        <f t="shared" si="2"/>
        <v>46043</v>
      </c>
      <c r="C15" s="6" t="s">
        <v>70</v>
      </c>
      <c r="D15" s="6" t="s">
        <v>69</v>
      </c>
      <c r="E15" s="41" t="s">
        <v>66</v>
      </c>
      <c r="F15" s="7" t="s">
        <v>73</v>
      </c>
      <c r="G15" s="14" t="s">
        <v>68</v>
      </c>
      <c r="H15" s="35"/>
    </row>
    <row r="16">
      <c r="A16" s="36">
        <v>14.0</v>
      </c>
      <c r="B16" s="37">
        <f t="shared" si="2"/>
        <v>46050</v>
      </c>
      <c r="C16" s="6" t="s">
        <v>69</v>
      </c>
      <c r="D16" s="6" t="s">
        <v>70</v>
      </c>
      <c r="E16" s="20" t="s">
        <v>66</v>
      </c>
      <c r="F16" s="6" t="s">
        <v>74</v>
      </c>
      <c r="G16" s="21" t="s">
        <v>68</v>
      </c>
    </row>
    <row r="17">
      <c r="A17" s="33">
        <v>15.0</v>
      </c>
      <c r="B17" s="39">
        <f t="shared" si="2"/>
        <v>46057</v>
      </c>
      <c r="C17" s="6" t="s">
        <v>70</v>
      </c>
      <c r="D17" s="6" t="s">
        <v>69</v>
      </c>
      <c r="E17" s="41" t="s">
        <v>66</v>
      </c>
      <c r="F17" s="7" t="s">
        <v>75</v>
      </c>
      <c r="G17" s="14" t="s">
        <v>68</v>
      </c>
      <c r="H17" s="42" t="s">
        <v>80</v>
      </c>
    </row>
    <row r="18">
      <c r="A18" s="43"/>
      <c r="B18" s="44"/>
      <c r="C18" s="24"/>
      <c r="D18" s="24"/>
      <c r="E18" s="24"/>
      <c r="F18" s="24"/>
      <c r="G18" s="24"/>
      <c r="H18" s="45"/>
    </row>
    <row r="19">
      <c r="A19" s="46" t="s">
        <v>81</v>
      </c>
      <c r="B19" s="47"/>
      <c r="C19" s="48"/>
      <c r="D19" s="48"/>
      <c r="E19" s="48"/>
      <c r="F19" s="48"/>
      <c r="G19" s="48"/>
      <c r="H19" s="45"/>
    </row>
    <row r="20">
      <c r="A20" s="48"/>
      <c r="B20" s="44"/>
      <c r="C20" s="24"/>
      <c r="D20" s="24"/>
      <c r="E20" s="24"/>
      <c r="F20" s="24"/>
      <c r="G20" s="24"/>
      <c r="H20" s="45"/>
    </row>
    <row r="21">
      <c r="A21" s="43"/>
      <c r="B21" s="44"/>
      <c r="C21" s="24"/>
      <c r="D21" s="24"/>
      <c r="E21" s="24"/>
      <c r="G21" s="24"/>
      <c r="H21" s="45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9" t="s">
        <v>82</v>
      </c>
      <c r="B1" s="50" t="s">
        <v>83</v>
      </c>
    </row>
    <row r="2">
      <c r="A2" s="15"/>
      <c r="B2" s="51" t="s">
        <v>84</v>
      </c>
    </row>
    <row r="3">
      <c r="A3" s="15"/>
      <c r="B3" s="51" t="s">
        <v>85</v>
      </c>
    </row>
    <row r="4">
      <c r="A4" s="15"/>
      <c r="B4" s="5" t="s">
        <v>86</v>
      </c>
    </row>
    <row r="5">
      <c r="A5" s="49" t="s">
        <v>87</v>
      </c>
      <c r="B5" s="51" t="s">
        <v>88</v>
      </c>
    </row>
    <row r="6">
      <c r="A6" s="15"/>
      <c r="B6" s="51" t="s">
        <v>89</v>
      </c>
    </row>
    <row r="7">
      <c r="A7" s="15"/>
      <c r="B7" s="51" t="s">
        <v>90</v>
      </c>
    </row>
    <row r="8">
      <c r="A8" s="49" t="s">
        <v>91</v>
      </c>
      <c r="B8" s="51" t="s">
        <v>92</v>
      </c>
    </row>
    <row r="9">
      <c r="A9" s="15"/>
      <c r="B9" s="51" t="s">
        <v>93</v>
      </c>
    </row>
    <row r="10">
      <c r="A10" s="18"/>
      <c r="B10" s="52" t="s">
        <v>94</v>
      </c>
    </row>
    <row r="11">
      <c r="A11" s="49" t="s">
        <v>95</v>
      </c>
      <c r="B11" s="52" t="s">
        <v>96</v>
      </c>
    </row>
    <row r="12">
      <c r="A12" s="8"/>
      <c r="B12" s="51" t="s">
        <v>97</v>
      </c>
    </row>
    <row r="13">
      <c r="A13" s="49" t="s">
        <v>98</v>
      </c>
      <c r="B13" s="52" t="s">
        <v>99</v>
      </c>
    </row>
    <row r="14">
      <c r="A14" s="8"/>
      <c r="B14" s="51" t="s">
        <v>100</v>
      </c>
    </row>
    <row r="15">
      <c r="A15" s="8"/>
      <c r="B15" s="51" t="s">
        <v>101</v>
      </c>
    </row>
    <row r="16">
      <c r="A16" s="8"/>
      <c r="B16" s="51" t="s">
        <v>102</v>
      </c>
    </row>
    <row r="17">
      <c r="A17" s="8"/>
      <c r="B17" s="8" t="s">
        <v>103</v>
      </c>
    </row>
    <row r="18">
      <c r="A18" s="53" t="s">
        <v>104</v>
      </c>
      <c r="B18" s="52" t="s">
        <v>105</v>
      </c>
    </row>
    <row r="19">
      <c r="A19" s="15"/>
      <c r="B19" s="51" t="s">
        <v>106</v>
      </c>
    </row>
    <row r="20">
      <c r="A20" s="8"/>
      <c r="B20" s="51" t="s">
        <v>107</v>
      </c>
    </row>
    <row r="21">
      <c r="A21" s="49" t="s">
        <v>108</v>
      </c>
      <c r="B21" s="52" t="s">
        <v>109</v>
      </c>
    </row>
    <row r="22">
      <c r="A22" s="15"/>
      <c r="B22" s="54" t="s">
        <v>110</v>
      </c>
    </row>
    <row r="23">
      <c r="A23" s="49" t="s">
        <v>111</v>
      </c>
      <c r="B23" s="52" t="s">
        <v>112</v>
      </c>
    </row>
    <row r="24">
      <c r="A24" s="15"/>
      <c r="B24" s="51" t="s">
        <v>113</v>
      </c>
    </row>
    <row r="25">
      <c r="A25" s="49" t="s">
        <v>114</v>
      </c>
      <c r="B25" s="52" t="s">
        <v>115</v>
      </c>
    </row>
    <row r="26">
      <c r="A26" s="15"/>
      <c r="B26" s="51" t="s">
        <v>116</v>
      </c>
    </row>
    <row r="27">
      <c r="A27" s="49" t="s">
        <v>117</v>
      </c>
      <c r="B27" s="5"/>
    </row>
    <row r="28">
      <c r="A28" s="15" t="s">
        <v>63</v>
      </c>
      <c r="B28" s="8" t="s">
        <v>68</v>
      </c>
    </row>
    <row r="29">
      <c r="A29" s="18" t="s">
        <v>118</v>
      </c>
      <c r="B29" s="5" t="s">
        <v>70</v>
      </c>
    </row>
    <row r="30">
      <c r="A30" s="8" t="s">
        <v>118</v>
      </c>
      <c r="B30" s="8" t="s">
        <v>69</v>
      </c>
    </row>
    <row r="31">
      <c r="A31" s="5" t="s">
        <v>119</v>
      </c>
      <c r="B31" s="7" t="s">
        <v>73</v>
      </c>
    </row>
    <row r="32">
      <c r="A32" s="8" t="s">
        <v>119</v>
      </c>
      <c r="B32" s="8" t="s">
        <v>77</v>
      </c>
    </row>
    <row r="33">
      <c r="A33" s="5" t="s">
        <v>119</v>
      </c>
      <c r="B33" s="5" t="s">
        <v>75</v>
      </c>
    </row>
    <row r="34">
      <c r="A34" s="8" t="s">
        <v>119</v>
      </c>
      <c r="B34" s="8" t="s">
        <v>74</v>
      </c>
    </row>
    <row r="35">
      <c r="A35" s="8" t="s">
        <v>119</v>
      </c>
      <c r="B35" s="8" t="s">
        <v>71</v>
      </c>
    </row>
    <row r="36">
      <c r="A36" s="5"/>
      <c r="B36" s="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55" t="s">
        <v>120</v>
      </c>
      <c r="B1" s="55" t="s">
        <v>121</v>
      </c>
    </row>
    <row r="2">
      <c r="A2" s="56"/>
      <c r="B2" s="57"/>
    </row>
    <row r="3">
      <c r="A3" s="58" t="s">
        <v>122</v>
      </c>
      <c r="B3" s="58" t="s">
        <v>123</v>
      </c>
    </row>
  </sheetData>
  <mergeCells count="2">
    <mergeCell ref="A3:A20"/>
    <mergeCell ref="B3:B2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59" t="s">
        <v>124</v>
      </c>
      <c r="B1" s="59" t="s">
        <v>125</v>
      </c>
    </row>
    <row r="2">
      <c r="A2" s="60" t="s">
        <v>126</v>
      </c>
      <c r="B2" s="60" t="s">
        <v>127</v>
      </c>
    </row>
    <row r="3">
      <c r="A3" s="61" t="s">
        <v>128</v>
      </c>
      <c r="B3" s="61" t="s">
        <v>129</v>
      </c>
    </row>
    <row r="4">
      <c r="A4" s="60" t="s">
        <v>130</v>
      </c>
      <c r="B4" s="60" t="s">
        <v>131</v>
      </c>
    </row>
    <row r="5">
      <c r="A5" s="61" t="s">
        <v>132</v>
      </c>
      <c r="B5" s="61" t="s">
        <v>133</v>
      </c>
    </row>
    <row r="6">
      <c r="A6" s="60" t="s">
        <v>134</v>
      </c>
      <c r="B6" s="60" t="s">
        <v>135</v>
      </c>
    </row>
    <row r="7">
      <c r="A7" s="61" t="s">
        <v>136</v>
      </c>
      <c r="B7" s="61" t="s">
        <v>137</v>
      </c>
    </row>
    <row r="8">
      <c r="A8" s="60" t="s">
        <v>138</v>
      </c>
      <c r="B8" s="60" t="s">
        <v>139</v>
      </c>
    </row>
    <row r="9">
      <c r="A9" s="61" t="s">
        <v>140</v>
      </c>
      <c r="B9" s="61" t="s">
        <v>141</v>
      </c>
    </row>
    <row r="10">
      <c r="A10" s="60" t="s">
        <v>142</v>
      </c>
      <c r="B10" s="60" t="s">
        <v>143</v>
      </c>
    </row>
    <row r="11">
      <c r="A11" s="61" t="s">
        <v>144</v>
      </c>
      <c r="B11" s="61" t="s">
        <v>145</v>
      </c>
    </row>
    <row r="12">
      <c r="A12" s="60" t="s">
        <v>146</v>
      </c>
      <c r="B12" s="60" t="s">
        <v>147</v>
      </c>
    </row>
    <row r="13">
      <c r="A13" s="61" t="s">
        <v>148</v>
      </c>
      <c r="B13" s="61" t="s">
        <v>149</v>
      </c>
    </row>
    <row r="14">
      <c r="A14" s="60" t="s">
        <v>150</v>
      </c>
      <c r="B14" s="60" t="s">
        <v>151</v>
      </c>
    </row>
    <row r="15">
      <c r="A15" s="61" t="s">
        <v>152</v>
      </c>
      <c r="B15" s="61" t="s">
        <v>153</v>
      </c>
    </row>
    <row r="16">
      <c r="A16" s="60" t="s">
        <v>154</v>
      </c>
      <c r="B16" s="60" t="s">
        <v>155</v>
      </c>
    </row>
    <row r="17">
      <c r="A17" s="61" t="s">
        <v>156</v>
      </c>
      <c r="B17" s="61" t="s">
        <v>157</v>
      </c>
    </row>
    <row r="18">
      <c r="A18" s="60" t="s">
        <v>158</v>
      </c>
      <c r="B18" s="60" t="s">
        <v>159</v>
      </c>
    </row>
    <row r="19">
      <c r="A19" s="61" t="s">
        <v>160</v>
      </c>
      <c r="B19" s="61" t="s">
        <v>161</v>
      </c>
    </row>
    <row r="20">
      <c r="A20" s="60" t="s">
        <v>162</v>
      </c>
      <c r="B20" s="60" t="s">
        <v>163</v>
      </c>
    </row>
    <row r="21">
      <c r="A21" s="61" t="s">
        <v>164</v>
      </c>
      <c r="B21" s="61" t="s">
        <v>165</v>
      </c>
    </row>
    <row r="22">
      <c r="A22" s="60" t="s">
        <v>166</v>
      </c>
      <c r="B22" s="60" t="s">
        <v>167</v>
      </c>
    </row>
    <row r="23">
      <c r="A23" s="61" t="s">
        <v>168</v>
      </c>
      <c r="B23" s="61" t="s">
        <v>169</v>
      </c>
    </row>
    <row r="24">
      <c r="A24" s="60" t="s">
        <v>170</v>
      </c>
      <c r="B24" s="60" t="s">
        <v>171</v>
      </c>
    </row>
    <row r="25">
      <c r="A25" s="61" t="s">
        <v>172</v>
      </c>
      <c r="B25" s="61" t="s">
        <v>173</v>
      </c>
    </row>
    <row r="26">
      <c r="A26" s="60" t="s">
        <v>174</v>
      </c>
      <c r="B26" s="60" t="s">
        <v>175</v>
      </c>
    </row>
    <row r="27">
      <c r="A27" s="61" t="s">
        <v>176</v>
      </c>
      <c r="B27" s="61" t="s">
        <v>177</v>
      </c>
    </row>
    <row r="28">
      <c r="A28" s="60" t="s">
        <v>178</v>
      </c>
      <c r="B28" s="60" t="s">
        <v>179</v>
      </c>
    </row>
    <row r="29">
      <c r="A29" s="61" t="s">
        <v>180</v>
      </c>
      <c r="B29" s="61" t="s">
        <v>181</v>
      </c>
    </row>
    <row r="30">
      <c r="A30" s="60" t="s">
        <v>182</v>
      </c>
      <c r="B30" s="60" t="s">
        <v>183</v>
      </c>
    </row>
    <row r="31">
      <c r="A31" s="61" t="s">
        <v>184</v>
      </c>
      <c r="B31" s="61" t="s">
        <v>185</v>
      </c>
    </row>
    <row r="32">
      <c r="A32" s="60" t="s">
        <v>186</v>
      </c>
      <c r="B32" s="60" t="s">
        <v>187</v>
      </c>
    </row>
    <row r="33">
      <c r="A33" s="61" t="s">
        <v>188</v>
      </c>
      <c r="B33" s="61" t="s">
        <v>189</v>
      </c>
    </row>
    <row r="34">
      <c r="A34" s="60" t="s">
        <v>190</v>
      </c>
      <c r="B34" s="60" t="s">
        <v>191</v>
      </c>
    </row>
    <row r="35">
      <c r="A35" s="61" t="s">
        <v>192</v>
      </c>
      <c r="B35" s="61" t="s">
        <v>193</v>
      </c>
    </row>
    <row r="36">
      <c r="A36" s="60" t="s">
        <v>194</v>
      </c>
      <c r="B36" s="60" t="s">
        <v>195</v>
      </c>
    </row>
    <row r="37">
      <c r="A37" s="61" t="s">
        <v>196</v>
      </c>
      <c r="B37" s="61" t="s">
        <v>197</v>
      </c>
    </row>
    <row r="38">
      <c r="A38" s="60" t="s">
        <v>198</v>
      </c>
      <c r="B38" s="60" t="s">
        <v>199</v>
      </c>
    </row>
    <row r="39">
      <c r="A39" s="61" t="s">
        <v>200</v>
      </c>
      <c r="B39" s="61" t="s">
        <v>201</v>
      </c>
    </row>
    <row r="40">
      <c r="A40" s="60" t="s">
        <v>202</v>
      </c>
      <c r="B40" s="60" t="s">
        <v>203</v>
      </c>
    </row>
    <row r="41">
      <c r="A41" s="61" t="s">
        <v>204</v>
      </c>
      <c r="B41" s="61" t="s">
        <v>205</v>
      </c>
    </row>
    <row r="42">
      <c r="A42" s="60" t="s">
        <v>206</v>
      </c>
      <c r="B42" s="60" t="s">
        <v>207</v>
      </c>
    </row>
    <row r="43">
      <c r="A43" s="61" t="s">
        <v>208</v>
      </c>
      <c r="B43" s="61" t="s">
        <v>209</v>
      </c>
    </row>
    <row r="44">
      <c r="A44" s="60" t="s">
        <v>210</v>
      </c>
      <c r="B44" s="60" t="s">
        <v>211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62" t="s">
        <v>212</v>
      </c>
      <c r="B1" s="3" t="s">
        <v>213</v>
      </c>
    </row>
    <row r="2">
      <c r="A2" s="63">
        <v>1.0</v>
      </c>
      <c r="B2" s="12" t="s">
        <v>214</v>
      </c>
    </row>
    <row r="3">
      <c r="A3" s="63">
        <f t="shared" ref="A3:A16" si="1">A2+1</f>
        <v>2</v>
      </c>
      <c r="B3" s="12" t="s">
        <v>214</v>
      </c>
    </row>
    <row r="4">
      <c r="A4" s="63">
        <f t="shared" si="1"/>
        <v>3</v>
      </c>
      <c r="B4" s="12" t="s">
        <v>214</v>
      </c>
    </row>
    <row r="5">
      <c r="A5" s="63">
        <f t="shared" si="1"/>
        <v>4</v>
      </c>
      <c r="B5" s="64" t="s">
        <v>215</v>
      </c>
    </row>
    <row r="6">
      <c r="A6" s="63">
        <f t="shared" si="1"/>
        <v>5</v>
      </c>
      <c r="B6" s="12" t="s">
        <v>216</v>
      </c>
    </row>
    <row r="7">
      <c r="A7" s="63">
        <f t="shared" si="1"/>
        <v>6</v>
      </c>
      <c r="B7" s="12" t="s">
        <v>217</v>
      </c>
    </row>
    <row r="8">
      <c r="A8" s="63">
        <f t="shared" si="1"/>
        <v>7</v>
      </c>
      <c r="B8" s="12" t="s">
        <v>218</v>
      </c>
    </row>
    <row r="9">
      <c r="A9" s="63">
        <f t="shared" si="1"/>
        <v>8</v>
      </c>
      <c r="B9" s="12" t="s">
        <v>219</v>
      </c>
    </row>
    <row r="10">
      <c r="A10" s="63">
        <f t="shared" si="1"/>
        <v>9</v>
      </c>
      <c r="B10" s="12" t="s">
        <v>220</v>
      </c>
    </row>
    <row r="11">
      <c r="A11" s="63">
        <f t="shared" si="1"/>
        <v>10</v>
      </c>
      <c r="B11" s="12" t="s">
        <v>221</v>
      </c>
    </row>
    <row r="12">
      <c r="A12" s="63">
        <f t="shared" si="1"/>
        <v>11</v>
      </c>
      <c r="B12" s="12" t="s">
        <v>222</v>
      </c>
    </row>
    <row r="13">
      <c r="A13" s="63">
        <f t="shared" si="1"/>
        <v>12</v>
      </c>
      <c r="B13" s="12" t="s">
        <v>223</v>
      </c>
    </row>
    <row r="14">
      <c r="A14" s="63">
        <f t="shared" si="1"/>
        <v>13</v>
      </c>
      <c r="B14" s="12" t="s">
        <v>224</v>
      </c>
    </row>
    <row r="15">
      <c r="A15" s="63">
        <f t="shared" si="1"/>
        <v>14</v>
      </c>
      <c r="B15" s="12" t="s">
        <v>225</v>
      </c>
    </row>
    <row r="16">
      <c r="A16" s="63">
        <f t="shared" si="1"/>
        <v>15</v>
      </c>
      <c r="B16" s="2"/>
    </row>
    <row r="17">
      <c r="A17" s="63"/>
      <c r="B17" s="2"/>
    </row>
    <row r="18">
      <c r="A18" s="63"/>
      <c r="B18" s="2"/>
    </row>
    <row r="19">
      <c r="A19" s="65"/>
      <c r="B19" s="2"/>
    </row>
    <row r="20">
      <c r="A20" s="65"/>
      <c r="B20" s="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  <col customWidth="1" min="3" max="3" width="9.0"/>
  </cols>
  <sheetData>
    <row r="1">
      <c r="A1" s="62" t="s">
        <v>212</v>
      </c>
      <c r="B1" s="3" t="s">
        <v>226</v>
      </c>
      <c r="C1" s="3" t="s">
        <v>227</v>
      </c>
    </row>
    <row r="2">
      <c r="A2" s="63">
        <v>1.0</v>
      </c>
      <c r="B2" s="12">
        <f>'Mid-Project Release plan'!F9</f>
        <v>15</v>
      </c>
      <c r="C2" s="66">
        <f t="shared" ref="C2:C16" si="1">AVERAGE($B$2:$B$16)</f>
        <v>18.85714286</v>
      </c>
    </row>
    <row r="3">
      <c r="A3" s="63">
        <f t="shared" ref="A3:A16" si="2">A2+1</f>
        <v>2</v>
      </c>
      <c r="B3" s="12">
        <f>'Mid-Project Release plan'!F10</f>
        <v>21</v>
      </c>
      <c r="C3" s="66">
        <f t="shared" si="1"/>
        <v>18.85714286</v>
      </c>
    </row>
    <row r="4">
      <c r="A4" s="63">
        <f t="shared" si="2"/>
        <v>3</v>
      </c>
      <c r="B4" s="12">
        <f>'Mid-Project Release plan'!F11</f>
        <v>17</v>
      </c>
      <c r="C4" s="66">
        <f t="shared" si="1"/>
        <v>18.85714286</v>
      </c>
    </row>
    <row r="5">
      <c r="A5" s="63">
        <f t="shared" si="2"/>
        <v>4</v>
      </c>
      <c r="B5" s="12">
        <f>'Mid-Project Release plan'!F12</f>
        <v>19</v>
      </c>
      <c r="C5" s="66">
        <f t="shared" si="1"/>
        <v>18.85714286</v>
      </c>
    </row>
    <row r="6">
      <c r="A6" s="63">
        <f t="shared" si="2"/>
        <v>5</v>
      </c>
      <c r="B6" s="12">
        <f>'Mid-Project Release plan'!F13</f>
        <v>16</v>
      </c>
      <c r="C6" s="66">
        <f t="shared" si="1"/>
        <v>18.85714286</v>
      </c>
    </row>
    <row r="7">
      <c r="A7" s="63">
        <f t="shared" si="2"/>
        <v>6</v>
      </c>
      <c r="B7" s="12">
        <f>'Mid-Project Release plan'!F14</f>
        <v>19</v>
      </c>
      <c r="C7" s="66">
        <f t="shared" si="1"/>
        <v>18.85714286</v>
      </c>
    </row>
    <row r="8">
      <c r="A8" s="63">
        <f t="shared" si="2"/>
        <v>7</v>
      </c>
      <c r="B8" s="12">
        <f>'Final Project Release plan'!F9</f>
        <v>25</v>
      </c>
      <c r="C8" s="66">
        <f t="shared" si="1"/>
        <v>18.85714286</v>
      </c>
    </row>
    <row r="9">
      <c r="A9" s="63">
        <f t="shared" si="2"/>
        <v>8</v>
      </c>
      <c r="B9" s="12"/>
      <c r="C9" s="66">
        <f t="shared" si="1"/>
        <v>18.85714286</v>
      </c>
    </row>
    <row r="10">
      <c r="A10" s="63">
        <f t="shared" si="2"/>
        <v>9</v>
      </c>
      <c r="B10" s="12"/>
      <c r="C10" s="66">
        <f t="shared" si="1"/>
        <v>18.85714286</v>
      </c>
    </row>
    <row r="11">
      <c r="A11" s="63">
        <f t="shared" si="2"/>
        <v>10</v>
      </c>
      <c r="B11" s="12" t="str">
        <f>'Final Project Release plan'!F12</f>
        <v/>
      </c>
      <c r="C11" s="66">
        <f t="shared" si="1"/>
        <v>18.85714286</v>
      </c>
    </row>
    <row r="12">
      <c r="A12" s="63">
        <f t="shared" si="2"/>
        <v>11</v>
      </c>
      <c r="B12" s="12" t="str">
        <f>'Final Project Release plan'!F13</f>
        <v/>
      </c>
      <c r="C12" s="66">
        <f t="shared" si="1"/>
        <v>18.85714286</v>
      </c>
    </row>
    <row r="13">
      <c r="A13" s="63">
        <f t="shared" si="2"/>
        <v>12</v>
      </c>
      <c r="B13" s="12" t="str">
        <f>'Final Project Release plan'!F14</f>
        <v/>
      </c>
      <c r="C13" s="66">
        <f t="shared" si="1"/>
        <v>18.85714286</v>
      </c>
    </row>
    <row r="14">
      <c r="A14" s="63">
        <f t="shared" si="2"/>
        <v>13</v>
      </c>
      <c r="B14" s="12" t="str">
        <f>'Final Project Release plan'!F15</f>
        <v/>
      </c>
      <c r="C14" s="66">
        <f t="shared" si="1"/>
        <v>18.85714286</v>
      </c>
    </row>
    <row r="15">
      <c r="A15" s="63">
        <f t="shared" si="2"/>
        <v>14</v>
      </c>
      <c r="B15" s="12" t="str">
        <f>'Final Project Release plan'!F16</f>
        <v/>
      </c>
      <c r="C15" s="66">
        <f t="shared" si="1"/>
        <v>18.85714286</v>
      </c>
    </row>
    <row r="16">
      <c r="A16" s="63">
        <f t="shared" si="2"/>
        <v>15</v>
      </c>
      <c r="B16" s="2"/>
      <c r="C16" s="66">
        <f t="shared" si="1"/>
        <v>18.85714286</v>
      </c>
    </row>
    <row r="17">
      <c r="A17" s="63"/>
      <c r="B17" s="2"/>
      <c r="C17" s="2"/>
    </row>
    <row r="18">
      <c r="A18" s="63"/>
      <c r="B18" s="67" t="s">
        <v>228</v>
      </c>
      <c r="C18" s="67"/>
    </row>
    <row r="19">
      <c r="A19" s="65"/>
      <c r="B19" s="2"/>
      <c r="C19" s="2"/>
    </row>
    <row r="20">
      <c r="A20" s="65"/>
      <c r="C20" s="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12.5"/>
    <col customWidth="1" min="2" max="2" width="20.5"/>
    <col customWidth="1" min="3" max="3" width="20.75"/>
    <col customWidth="1" min="4" max="4" width="18.0"/>
    <col customWidth="1" min="5" max="5" width="18.25"/>
  </cols>
  <sheetData>
    <row r="23">
      <c r="A23" s="64" t="s">
        <v>229</v>
      </c>
      <c r="B23" s="68">
        <f>'Velocity Tracking'!C2</f>
        <v>18.85714286</v>
      </c>
      <c r="C23" s="64" t="s">
        <v>230</v>
      </c>
    </row>
    <row r="26">
      <c r="A26" s="69" t="s">
        <v>231</v>
      </c>
    </row>
    <row r="27">
      <c r="A27" s="70"/>
      <c r="B27" s="70"/>
      <c r="C27" s="70"/>
      <c r="D27" s="70"/>
      <c r="E27" s="70"/>
      <c r="F27" s="70"/>
      <c r="G27" s="70"/>
      <c r="H27" s="70"/>
      <c r="I27" s="70"/>
      <c r="J27" s="70"/>
    </row>
    <row r="29" ht="22.5" customHeight="1">
      <c r="A29" s="71" t="s">
        <v>232</v>
      </c>
      <c r="B29" s="71" t="s">
        <v>233</v>
      </c>
      <c r="C29" s="71" t="s">
        <v>234</v>
      </c>
      <c r="D29" s="71" t="s">
        <v>235</v>
      </c>
      <c r="E29" s="71" t="s">
        <v>236</v>
      </c>
    </row>
    <row r="30" ht="22.5" customHeight="1">
      <c r="A30" s="72"/>
      <c r="B30" s="72"/>
      <c r="C30" s="72"/>
      <c r="D30" s="72"/>
      <c r="E30" s="72"/>
    </row>
    <row r="31" ht="22.5" customHeight="1">
      <c r="A31" s="72"/>
      <c r="B31" s="72"/>
      <c r="C31" s="72"/>
      <c r="D31" s="72"/>
      <c r="E31" s="72"/>
    </row>
    <row r="32" ht="22.5" customHeight="1">
      <c r="A32" s="72">
        <v>1.0</v>
      </c>
      <c r="B32" s="73">
        <f>'Mid-Project Release plan'!D9</f>
        <v>10</v>
      </c>
      <c r="C32" s="73">
        <f>'Mid-Project Release plan'!F9</f>
        <v>15</v>
      </c>
      <c r="D32" s="73">
        <f>AVERAGE(B32:B46)</f>
        <v>20.6</v>
      </c>
      <c r="E32" s="73">
        <f>AVERAGE(C32:C48)</f>
        <v>16.5</v>
      </c>
    </row>
    <row r="33" ht="22.5" customHeight="1">
      <c r="A33" s="72">
        <v>2.0</v>
      </c>
      <c r="B33" s="73">
        <f>'Mid-Project Release plan'!D10</f>
        <v>23</v>
      </c>
      <c r="C33" s="73">
        <f>'Mid-Project Release plan'!F10</f>
        <v>21</v>
      </c>
      <c r="D33" s="73">
        <f t="shared" ref="D33:E33" si="1">D32</f>
        <v>20.6</v>
      </c>
      <c r="E33" s="73">
        <f t="shared" si="1"/>
        <v>16.5</v>
      </c>
    </row>
    <row r="34" ht="22.5" customHeight="1">
      <c r="A34" s="72">
        <v>3.0</v>
      </c>
      <c r="B34" s="73">
        <f>'Mid-Project Release plan'!D11</f>
        <v>18</v>
      </c>
      <c r="C34" s="73">
        <f>'Mid-Project Release plan'!F11</f>
        <v>17</v>
      </c>
      <c r="D34" s="73">
        <f t="shared" ref="D34:E34" si="2">D33</f>
        <v>20.6</v>
      </c>
      <c r="E34" s="73">
        <f t="shared" si="2"/>
        <v>16.5</v>
      </c>
    </row>
    <row r="35" ht="22.5" customHeight="1">
      <c r="A35" s="72">
        <v>4.0</v>
      </c>
      <c r="B35" s="73">
        <f>'Mid-Project Release plan'!D12</f>
        <v>19</v>
      </c>
      <c r="C35" s="73">
        <f>'Mid-Project Release plan'!F12</f>
        <v>19</v>
      </c>
      <c r="D35" s="73">
        <f t="shared" ref="D35:E35" si="3">D34</f>
        <v>20.6</v>
      </c>
      <c r="E35" s="73">
        <f t="shared" si="3"/>
        <v>16.5</v>
      </c>
    </row>
    <row r="36" ht="22.5" customHeight="1">
      <c r="A36" s="72">
        <v>5.0</v>
      </c>
      <c r="B36" s="73">
        <f>'Mid-Project Release plan'!D13</f>
        <v>21</v>
      </c>
      <c r="C36" s="73">
        <f>'Mid-Project Release plan'!F13</f>
        <v>16</v>
      </c>
      <c r="D36" s="73">
        <f t="shared" ref="D36:E36" si="4">D35</f>
        <v>20.6</v>
      </c>
      <c r="E36" s="73">
        <f t="shared" si="4"/>
        <v>16.5</v>
      </c>
    </row>
    <row r="37" ht="22.5" customHeight="1">
      <c r="A37" s="72">
        <v>6.0</v>
      </c>
      <c r="B37" s="72">
        <f>'Mid-Project Release plan'!D14</f>
        <v>19</v>
      </c>
      <c r="C37" s="73">
        <f>'Mid-Project Release plan'!F14</f>
        <v>19</v>
      </c>
      <c r="D37" s="73">
        <f t="shared" ref="D37:E37" si="5">D35</f>
        <v>20.6</v>
      </c>
      <c r="E37" s="73">
        <f t="shared" si="5"/>
        <v>16.5</v>
      </c>
    </row>
    <row r="38" ht="22.5" customHeight="1">
      <c r="A38" s="72">
        <v>7.0</v>
      </c>
      <c r="B38" s="72">
        <f>'Final Project Release plan'!D9</f>
        <v>31</v>
      </c>
      <c r="C38" s="73">
        <f>'Final Project Release plan'!F9</f>
        <v>25</v>
      </c>
      <c r="D38" s="73">
        <f t="shared" ref="D38:E38" si="6">D35</f>
        <v>20.6</v>
      </c>
      <c r="E38" s="73">
        <f t="shared" si="6"/>
        <v>16.5</v>
      </c>
    </row>
    <row r="39" ht="22.5" customHeight="1">
      <c r="A39" s="72">
        <v>8.0</v>
      </c>
      <c r="B39" s="72">
        <f>'Final Project Release plan'!D10</f>
        <v>26</v>
      </c>
      <c r="C39" s="73">
        <f>'Final Project Release plan'!F10</f>
        <v>0</v>
      </c>
      <c r="D39" s="73">
        <f t="shared" ref="D39:E39" si="7">D35</f>
        <v>20.6</v>
      </c>
      <c r="E39" s="73">
        <f t="shared" si="7"/>
        <v>16.5</v>
      </c>
    </row>
    <row r="40" ht="22.5" customHeight="1">
      <c r="A40" s="72">
        <v>9.0</v>
      </c>
      <c r="B40" s="72">
        <f>'Final Project Release plan'!D11</f>
        <v>28</v>
      </c>
      <c r="C40" s="73" t="str">
        <f>'Final Project Release plan'!F11</f>
        <v/>
      </c>
      <c r="D40" s="73">
        <f t="shared" ref="D40:E40" si="8">D35</f>
        <v>20.6</v>
      </c>
      <c r="E40" s="73">
        <f t="shared" si="8"/>
        <v>16.5</v>
      </c>
    </row>
    <row r="41" ht="22.5" customHeight="1">
      <c r="A41" s="72">
        <v>10.0</v>
      </c>
      <c r="B41" s="72">
        <f>'Final Project Release plan'!D12</f>
        <v>24</v>
      </c>
      <c r="C41" s="73" t="str">
        <f>'Final Project Release plan'!F12</f>
        <v/>
      </c>
      <c r="D41" s="73">
        <f t="shared" ref="D41:E41" si="9">D35</f>
        <v>20.6</v>
      </c>
      <c r="E41" s="73">
        <f t="shared" si="9"/>
        <v>16.5</v>
      </c>
    </row>
    <row r="42" ht="22.5" customHeight="1">
      <c r="A42" s="72">
        <v>11.0</v>
      </c>
      <c r="B42" s="72">
        <f>'Final Project Release plan'!D13</f>
        <v>22</v>
      </c>
      <c r="C42" s="73" t="str">
        <f>'Final Project Release plan'!F13</f>
        <v/>
      </c>
      <c r="D42" s="73">
        <f t="shared" ref="D42:E42" si="10">D35</f>
        <v>20.6</v>
      </c>
      <c r="E42" s="73">
        <f t="shared" si="10"/>
        <v>16.5</v>
      </c>
    </row>
    <row r="43" ht="22.5" customHeight="1">
      <c r="A43" s="72">
        <v>12.0</v>
      </c>
      <c r="B43" s="72">
        <f>'Final Project Release plan'!D14</f>
        <v>20</v>
      </c>
      <c r="C43" s="73" t="str">
        <f>'Final Project Release plan'!F14</f>
        <v/>
      </c>
      <c r="D43" s="73">
        <f t="shared" ref="D43:E43" si="11">D35</f>
        <v>20.6</v>
      </c>
      <c r="E43" s="73">
        <f t="shared" si="11"/>
        <v>16.5</v>
      </c>
    </row>
    <row r="44" ht="22.5" customHeight="1">
      <c r="A44" s="72">
        <v>13.0</v>
      </c>
      <c r="B44" s="72">
        <f>'Final Project Release plan'!D15</f>
        <v>16</v>
      </c>
      <c r="C44" s="73" t="str">
        <f>'Final Project Release plan'!F15</f>
        <v/>
      </c>
      <c r="D44" s="73">
        <f t="shared" ref="D44:E44" si="12">D35</f>
        <v>20.6</v>
      </c>
      <c r="E44" s="73">
        <f t="shared" si="12"/>
        <v>16.5</v>
      </c>
    </row>
    <row r="45" ht="22.5" customHeight="1">
      <c r="A45" s="72">
        <v>14.0</v>
      </c>
      <c r="B45" s="72">
        <f>'Final Project Release plan'!D16</f>
        <v>18</v>
      </c>
      <c r="C45" s="73" t="str">
        <f>'Final Project Release plan'!F16</f>
        <v/>
      </c>
      <c r="D45" s="73">
        <f t="shared" ref="D45:E45" si="13">D35</f>
        <v>20.6</v>
      </c>
      <c r="E45" s="73">
        <f t="shared" si="13"/>
        <v>16.5</v>
      </c>
    </row>
    <row r="46" ht="22.5" customHeight="1">
      <c r="A46" s="72">
        <v>15.0</v>
      </c>
      <c r="B46" s="72">
        <f>'Final Project Release plan'!D17</f>
        <v>14</v>
      </c>
      <c r="C46" s="73" t="str">
        <f>'Final Project Release plan'!F17</f>
        <v/>
      </c>
      <c r="D46" s="73">
        <f t="shared" ref="D46:E46" si="14">D36</f>
        <v>20.6</v>
      </c>
      <c r="E46" s="73">
        <f t="shared" si="14"/>
        <v>16.5</v>
      </c>
    </row>
  </sheetData>
  <mergeCells count="1">
    <mergeCell ref="A26:J2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4" t="s">
        <v>232</v>
      </c>
      <c r="B1" s="75" t="s">
        <v>237</v>
      </c>
      <c r="C1" s="76" t="s">
        <v>238</v>
      </c>
      <c r="D1" s="77" t="s">
        <v>239</v>
      </c>
      <c r="E1" s="77" t="s">
        <v>240</v>
      </c>
      <c r="F1" s="77" t="s">
        <v>241</v>
      </c>
      <c r="G1" s="77" t="s">
        <v>242</v>
      </c>
    </row>
    <row r="2">
      <c r="A2" s="78"/>
      <c r="B2" s="79"/>
      <c r="C2" s="80"/>
      <c r="D2" s="80"/>
      <c r="E2" s="80"/>
      <c r="F2" s="80"/>
      <c r="G2" s="80"/>
    </row>
    <row r="3">
      <c r="A3" s="81" t="s">
        <v>243</v>
      </c>
      <c r="B3" s="82"/>
      <c r="C3" s="83"/>
      <c r="D3" s="83"/>
      <c r="E3" s="83"/>
      <c r="F3" s="83"/>
      <c r="G3" s="83"/>
    </row>
    <row r="4">
      <c r="A4" s="78"/>
      <c r="B4" s="79"/>
      <c r="C4" s="80"/>
      <c r="D4" s="80"/>
      <c r="E4" s="80"/>
      <c r="F4" s="80"/>
      <c r="G4" s="80"/>
    </row>
    <row r="5">
      <c r="A5" s="84" t="s">
        <v>244</v>
      </c>
      <c r="B5" s="85"/>
      <c r="C5" s="86"/>
      <c r="D5" s="87">
        <f>sum(D8:D14)</f>
        <v>110</v>
      </c>
      <c r="E5" s="87">
        <f>D5</f>
        <v>110</v>
      </c>
      <c r="F5" s="86"/>
      <c r="G5" s="86"/>
    </row>
    <row r="6">
      <c r="A6" s="78"/>
      <c r="B6" s="79"/>
      <c r="C6" s="80"/>
      <c r="D6" s="80"/>
      <c r="E6" s="80"/>
      <c r="F6" s="80"/>
      <c r="G6" s="80"/>
    </row>
    <row r="7">
      <c r="A7" s="88" t="s">
        <v>245</v>
      </c>
      <c r="B7" s="89"/>
      <c r="C7" s="90"/>
      <c r="D7" s="90"/>
      <c r="E7" s="90"/>
      <c r="F7" s="90"/>
      <c r="G7" s="90"/>
    </row>
    <row r="8">
      <c r="A8" s="78"/>
      <c r="B8" s="79"/>
      <c r="C8" s="80"/>
      <c r="D8" s="80"/>
      <c r="E8" s="91" t="s">
        <v>246</v>
      </c>
      <c r="F8" s="80"/>
      <c r="G8" s="91" t="s">
        <v>247</v>
      </c>
    </row>
    <row r="9">
      <c r="A9" s="92">
        <v>1.0</v>
      </c>
      <c r="B9" s="93" t="s">
        <v>248</v>
      </c>
      <c r="C9" s="86"/>
      <c r="D9" s="87">
        <f>sum(D19:D28)</f>
        <v>10</v>
      </c>
      <c r="E9" s="87">
        <f>$D$5</f>
        <v>110</v>
      </c>
      <c r="F9" s="87">
        <f>sum(F19:F28)</f>
        <v>15</v>
      </c>
      <c r="G9" s="87">
        <f>$D$5</f>
        <v>110</v>
      </c>
    </row>
    <row r="10">
      <c r="A10" s="78">
        <f t="shared" ref="A10:A11" si="1">A9+1</f>
        <v>2</v>
      </c>
      <c r="B10" s="94" t="s">
        <v>249</v>
      </c>
      <c r="C10" s="80"/>
      <c r="D10" s="95">
        <f>sum(D29:D39)</f>
        <v>23</v>
      </c>
      <c r="E10" s="95">
        <f t="shared" ref="E10:E14" si="2">E9-D9</f>
        <v>100</v>
      </c>
      <c r="F10" s="95">
        <f>sum(F29:F39)</f>
        <v>21</v>
      </c>
      <c r="G10" s="95">
        <f t="shared" ref="G10:G14" si="3">G9-F9</f>
        <v>95</v>
      </c>
    </row>
    <row r="11">
      <c r="A11" s="92">
        <f t="shared" si="1"/>
        <v>3</v>
      </c>
      <c r="B11" s="93" t="s">
        <v>250</v>
      </c>
      <c r="C11" s="86"/>
      <c r="D11" s="87">
        <f>sum(D40:D47)</f>
        <v>18</v>
      </c>
      <c r="E11" s="87">
        <f t="shared" si="2"/>
        <v>77</v>
      </c>
      <c r="F11" s="87">
        <f>sum(F40:F47)</f>
        <v>17</v>
      </c>
      <c r="G11" s="87">
        <f t="shared" si="3"/>
        <v>74</v>
      </c>
    </row>
    <row r="12">
      <c r="A12" s="96">
        <v>4.0</v>
      </c>
      <c r="B12" s="94" t="s">
        <v>251</v>
      </c>
      <c r="C12" s="80"/>
      <c r="D12" s="80">
        <f>sum(D51:D57)</f>
        <v>19</v>
      </c>
      <c r="E12" s="95">
        <f t="shared" si="2"/>
        <v>59</v>
      </c>
      <c r="F12" s="87">
        <f>sum(F51:F58)</f>
        <v>19</v>
      </c>
      <c r="G12" s="95">
        <f t="shared" si="3"/>
        <v>57</v>
      </c>
    </row>
    <row r="13">
      <c r="A13" s="97">
        <v>5.0</v>
      </c>
      <c r="B13" s="93" t="s">
        <v>252</v>
      </c>
      <c r="C13" s="86"/>
      <c r="D13" s="86">
        <f>sum(D61:D66)</f>
        <v>21</v>
      </c>
      <c r="E13" s="87">
        <f t="shared" si="2"/>
        <v>40</v>
      </c>
      <c r="F13" s="87">
        <f>sum(F61:F66)</f>
        <v>16</v>
      </c>
      <c r="G13" s="95">
        <f t="shared" si="3"/>
        <v>38</v>
      </c>
    </row>
    <row r="14">
      <c r="A14" s="78">
        <v>6.0</v>
      </c>
      <c r="B14" s="94" t="s">
        <v>253</v>
      </c>
      <c r="C14" s="80"/>
      <c r="D14" s="95">
        <f>sum(D68:D73)</f>
        <v>19</v>
      </c>
      <c r="E14" s="95">
        <f t="shared" si="2"/>
        <v>19</v>
      </c>
      <c r="F14" s="95">
        <f>sum(F69:F73)</f>
        <v>19</v>
      </c>
      <c r="G14" s="95">
        <f t="shared" si="3"/>
        <v>22</v>
      </c>
    </row>
    <row r="15">
      <c r="A15" s="97">
        <v>7.0</v>
      </c>
    </row>
    <row r="16">
      <c r="A16" s="97"/>
    </row>
    <row r="17">
      <c r="A17" s="98" t="s">
        <v>254</v>
      </c>
      <c r="B17" s="99"/>
      <c r="C17" s="100"/>
      <c r="D17" s="100"/>
      <c r="E17" s="100"/>
      <c r="F17" s="100"/>
      <c r="G17" s="100"/>
    </row>
    <row r="18">
      <c r="A18" s="92"/>
      <c r="B18" s="84"/>
      <c r="C18" s="86"/>
      <c r="D18" s="86"/>
      <c r="E18" s="86"/>
      <c r="F18" s="86"/>
      <c r="G18" s="86"/>
    </row>
    <row r="19">
      <c r="A19" s="101">
        <f t="shared" ref="A19:B19" si="4">A9</f>
        <v>1</v>
      </c>
      <c r="B19" s="102" t="str">
        <f t="shared" si="4"/>
        <v>Deliver first increment of initialized software modules and an architecture plan</v>
      </c>
      <c r="C19" s="80"/>
      <c r="D19" s="80"/>
      <c r="E19" s="80"/>
      <c r="F19" s="80"/>
      <c r="G19" s="80"/>
    </row>
    <row r="20">
      <c r="A20" s="92"/>
      <c r="B20" s="103"/>
      <c r="C20" s="104" t="s">
        <v>255</v>
      </c>
      <c r="D20" s="104">
        <v>3.0</v>
      </c>
      <c r="E20" s="86"/>
      <c r="F20" s="104">
        <v>3.0</v>
      </c>
      <c r="G20" s="86"/>
    </row>
    <row r="21">
      <c r="A21" s="78"/>
      <c r="B21" s="79"/>
      <c r="C21" s="64" t="s">
        <v>256</v>
      </c>
      <c r="D21" s="105">
        <v>1.0</v>
      </c>
      <c r="E21" s="79"/>
      <c r="F21" s="105">
        <v>1.0</v>
      </c>
      <c r="G21" s="94"/>
    </row>
    <row r="22">
      <c r="A22" s="92"/>
      <c r="B22" s="103"/>
      <c r="C22" s="104" t="s">
        <v>257</v>
      </c>
      <c r="D22" s="104">
        <v>1.0</v>
      </c>
      <c r="E22" s="86"/>
      <c r="F22" s="104">
        <v>1.0</v>
      </c>
      <c r="G22" s="86"/>
    </row>
    <row r="23">
      <c r="A23" s="106"/>
      <c r="B23" s="107"/>
      <c r="C23" s="94" t="s">
        <v>258</v>
      </c>
      <c r="D23" s="105"/>
      <c r="E23" s="107"/>
      <c r="F23" s="105">
        <v>2.0</v>
      </c>
      <c r="G23" s="107"/>
    </row>
    <row r="24">
      <c r="A24" s="92"/>
      <c r="B24" s="103"/>
      <c r="C24" s="104" t="s">
        <v>259</v>
      </c>
      <c r="D24" s="108">
        <v>2.0</v>
      </c>
      <c r="E24" s="86"/>
      <c r="F24" s="108">
        <v>5.0</v>
      </c>
      <c r="G24" s="86"/>
    </row>
    <row r="25">
      <c r="A25" s="106"/>
      <c r="B25" s="107"/>
      <c r="C25" s="94" t="s">
        <v>260</v>
      </c>
      <c r="D25" s="105">
        <v>1.0</v>
      </c>
      <c r="E25" s="107"/>
      <c r="F25" s="105">
        <v>1.0</v>
      </c>
      <c r="G25" s="107"/>
    </row>
    <row r="26">
      <c r="A26" s="92"/>
      <c r="B26" s="103"/>
      <c r="C26" s="104" t="s">
        <v>261</v>
      </c>
      <c r="D26" s="87"/>
      <c r="E26" s="86"/>
      <c r="F26" s="87"/>
      <c r="G26" s="86"/>
    </row>
    <row r="27">
      <c r="A27" s="106"/>
      <c r="B27" s="107"/>
      <c r="C27" s="94" t="s">
        <v>262</v>
      </c>
      <c r="D27" s="105">
        <v>2.0</v>
      </c>
      <c r="E27" s="107"/>
      <c r="F27" s="105">
        <v>2.0</v>
      </c>
      <c r="G27" s="107"/>
    </row>
    <row r="28">
      <c r="A28" s="92"/>
      <c r="B28" s="103"/>
      <c r="C28" s="86"/>
      <c r="D28" s="87"/>
      <c r="E28" s="86"/>
      <c r="F28" s="87"/>
      <c r="G28" s="86"/>
    </row>
    <row r="29">
      <c r="A29" s="101">
        <f t="shared" ref="A29:B29" si="5">A10</f>
        <v>2</v>
      </c>
      <c r="B29" s="102" t="str">
        <f t="shared" si="5"/>
        <v>Deliver increment with Build process implementation and first module prototypes</v>
      </c>
      <c r="C29" s="80"/>
      <c r="D29" s="80"/>
      <c r="E29" s="80"/>
      <c r="F29" s="80"/>
      <c r="G29" s="80"/>
    </row>
    <row r="30">
      <c r="A30" s="92"/>
      <c r="B30" s="103"/>
      <c r="C30" s="104" t="s">
        <v>263</v>
      </c>
      <c r="D30" s="104">
        <v>5.0</v>
      </c>
      <c r="E30" s="86"/>
      <c r="F30" s="104">
        <v>3.0</v>
      </c>
      <c r="G30" s="86"/>
    </row>
    <row r="31">
      <c r="A31" s="106"/>
      <c r="B31" s="107"/>
      <c r="C31" s="94" t="s">
        <v>264</v>
      </c>
      <c r="D31" s="105">
        <v>2.0</v>
      </c>
      <c r="E31" s="107"/>
      <c r="F31" s="94">
        <v>2.0</v>
      </c>
      <c r="G31" s="107"/>
    </row>
    <row r="32">
      <c r="A32" s="92"/>
      <c r="B32" s="103"/>
      <c r="C32" s="104" t="s">
        <v>265</v>
      </c>
      <c r="D32" s="108">
        <v>3.0</v>
      </c>
      <c r="E32" s="86"/>
      <c r="F32" s="104">
        <v>3.0</v>
      </c>
      <c r="G32" s="86"/>
    </row>
    <row r="33">
      <c r="A33" s="106"/>
      <c r="B33" s="107"/>
      <c r="C33" s="109" t="s">
        <v>266</v>
      </c>
      <c r="D33" s="105">
        <v>3.0</v>
      </c>
      <c r="E33" s="107"/>
      <c r="F33" s="94">
        <v>3.0</v>
      </c>
      <c r="G33" s="107"/>
    </row>
    <row r="34">
      <c r="A34" s="92"/>
      <c r="B34" s="103"/>
      <c r="C34" s="104" t="s">
        <v>267</v>
      </c>
      <c r="D34" s="104">
        <v>2.0</v>
      </c>
      <c r="E34" s="86"/>
      <c r="F34" s="104">
        <v>2.0</v>
      </c>
      <c r="G34" s="86"/>
    </row>
    <row r="35">
      <c r="A35" s="106"/>
      <c r="B35" s="107"/>
      <c r="C35" s="94" t="s">
        <v>268</v>
      </c>
      <c r="D35" s="105">
        <v>3.0</v>
      </c>
      <c r="E35" s="107"/>
      <c r="F35" s="94">
        <v>3.0</v>
      </c>
      <c r="G35" s="107"/>
    </row>
    <row r="36">
      <c r="A36" s="92"/>
      <c r="B36" s="103"/>
      <c r="C36" s="104" t="s">
        <v>269</v>
      </c>
      <c r="D36" s="108">
        <v>2.0</v>
      </c>
      <c r="E36" s="86"/>
      <c r="F36" s="104">
        <v>2.0</v>
      </c>
      <c r="G36" s="86"/>
    </row>
    <row r="37">
      <c r="A37" s="106"/>
      <c r="B37" s="107"/>
      <c r="C37" s="104" t="s">
        <v>270</v>
      </c>
      <c r="D37" s="105">
        <v>2.0</v>
      </c>
      <c r="E37" s="107"/>
      <c r="F37" s="94">
        <v>2.0</v>
      </c>
      <c r="G37" s="107"/>
    </row>
    <row r="38">
      <c r="A38" s="92"/>
      <c r="B38" s="103"/>
      <c r="C38" s="110" t="s">
        <v>271</v>
      </c>
      <c r="D38" s="108">
        <v>1.0</v>
      </c>
      <c r="E38" s="86"/>
      <c r="F38" s="104">
        <v>1.0</v>
      </c>
      <c r="G38" s="86"/>
    </row>
    <row r="39">
      <c r="A39" s="106"/>
      <c r="B39" s="107"/>
      <c r="C39" s="80"/>
      <c r="D39" s="95"/>
      <c r="E39" s="107"/>
      <c r="F39" s="107"/>
      <c r="G39" s="107"/>
    </row>
    <row r="40">
      <c r="A40" s="101">
        <f t="shared" ref="A40:B40" si="6">A11</f>
        <v>3</v>
      </c>
      <c r="B40" s="102" t="str">
        <f t="shared" si="6"/>
        <v>Deliver increment with broad prototype implementation coverage</v>
      </c>
      <c r="C40" s="80"/>
      <c r="D40" s="80"/>
      <c r="E40" s="80"/>
      <c r="F40" s="80"/>
      <c r="G40" s="80"/>
    </row>
    <row r="41">
      <c r="A41" s="92"/>
      <c r="B41" s="103"/>
      <c r="C41" s="104" t="s">
        <v>272</v>
      </c>
      <c r="D41" s="104">
        <v>5.0</v>
      </c>
      <c r="E41" s="86"/>
      <c r="F41" s="104">
        <v>3.0</v>
      </c>
      <c r="G41" s="86"/>
    </row>
    <row r="42">
      <c r="A42" s="106"/>
      <c r="B42" s="107"/>
      <c r="C42" s="94" t="s">
        <v>273</v>
      </c>
      <c r="D42" s="105">
        <v>3.0</v>
      </c>
      <c r="E42" s="107"/>
      <c r="F42" s="94">
        <v>2.0</v>
      </c>
      <c r="G42" s="107"/>
    </row>
    <row r="43">
      <c r="A43" s="92"/>
      <c r="B43" s="103"/>
      <c r="C43" s="104" t="s">
        <v>274</v>
      </c>
      <c r="D43" s="104">
        <v>2.0</v>
      </c>
      <c r="E43" s="86"/>
      <c r="F43" s="104">
        <v>2.0</v>
      </c>
      <c r="G43" s="86"/>
    </row>
    <row r="44">
      <c r="A44" s="106"/>
      <c r="B44" s="107"/>
      <c r="C44" s="94" t="s">
        <v>275</v>
      </c>
      <c r="D44" s="105">
        <v>2.0</v>
      </c>
      <c r="E44" s="107"/>
      <c r="F44" s="94">
        <v>2.0</v>
      </c>
      <c r="G44" s="107"/>
    </row>
    <row r="45">
      <c r="A45" s="106"/>
      <c r="B45" s="107"/>
      <c r="C45" s="109" t="s">
        <v>276</v>
      </c>
      <c r="D45" s="105">
        <v>3.0</v>
      </c>
      <c r="E45" s="107"/>
      <c r="F45" s="94">
        <v>5.0</v>
      </c>
      <c r="G45" s="107"/>
    </row>
    <row r="46">
      <c r="A46" s="106"/>
      <c r="B46" s="107"/>
      <c r="C46" s="109" t="s">
        <v>277</v>
      </c>
      <c r="D46" s="105">
        <v>2.0</v>
      </c>
      <c r="E46" s="107"/>
      <c r="F46" s="94">
        <v>2.0</v>
      </c>
      <c r="G46" s="107"/>
    </row>
    <row r="47" ht="12.0" customHeight="1">
      <c r="A47" s="106"/>
      <c r="B47" s="107"/>
      <c r="C47" s="109" t="s">
        <v>278</v>
      </c>
      <c r="D47" s="105">
        <v>1.0</v>
      </c>
      <c r="E47" s="107"/>
      <c r="F47" s="94">
        <v>1.0</v>
      </c>
      <c r="G47" s="107"/>
    </row>
    <row r="48" ht="12.0" customHeight="1">
      <c r="A48" s="106"/>
      <c r="B48" s="107"/>
      <c r="C48" s="109"/>
      <c r="D48" s="105"/>
      <c r="E48" s="107"/>
      <c r="F48" s="94"/>
      <c r="G48" s="107"/>
    </row>
    <row r="49">
      <c r="A49" s="111" t="str">
        <f t="shared" ref="A49:B49" si="7">A18</f>
        <v/>
      </c>
      <c r="B49" s="111" t="str">
        <f t="shared" si="7"/>
        <v/>
      </c>
      <c r="C49" s="5"/>
      <c r="D49" s="5"/>
      <c r="E49" s="5"/>
      <c r="F49" s="5"/>
      <c r="G49" s="5"/>
    </row>
    <row r="50">
      <c r="A50" s="101">
        <f t="shared" ref="A50:B50" si="8">A12</f>
        <v>4</v>
      </c>
      <c r="B50" s="102" t="str">
        <f t="shared" si="8"/>
        <v>Deliver increment with first component integrations implemented</v>
      </c>
      <c r="C50" s="80"/>
      <c r="D50" s="80"/>
      <c r="E50" s="80"/>
      <c r="F50" s="80"/>
      <c r="G50" s="80"/>
    </row>
    <row r="51">
      <c r="A51" s="92"/>
      <c r="B51" s="103"/>
      <c r="C51" s="104" t="s">
        <v>272</v>
      </c>
      <c r="D51" s="104">
        <v>5.0</v>
      </c>
      <c r="E51" s="86"/>
      <c r="F51" s="104">
        <v>3.0</v>
      </c>
      <c r="G51" s="86"/>
    </row>
    <row r="52">
      <c r="A52" s="106"/>
      <c r="B52" s="107"/>
      <c r="C52" s="94" t="s">
        <v>279</v>
      </c>
      <c r="D52" s="105">
        <v>3.0</v>
      </c>
      <c r="E52" s="107"/>
      <c r="F52" s="94">
        <v>2.0</v>
      </c>
      <c r="G52" s="107"/>
    </row>
    <row r="53">
      <c r="A53" s="92"/>
      <c r="B53" s="103"/>
      <c r="C53" s="104" t="s">
        <v>274</v>
      </c>
      <c r="D53" s="104">
        <v>2.0</v>
      </c>
      <c r="E53" s="86"/>
      <c r="F53" s="104">
        <v>2.0</v>
      </c>
      <c r="G53" s="86"/>
    </row>
    <row r="54">
      <c r="A54" s="106"/>
      <c r="B54" s="107"/>
      <c r="C54" s="94" t="s">
        <v>280</v>
      </c>
      <c r="D54" s="105">
        <v>3.0</v>
      </c>
      <c r="E54" s="107"/>
      <c r="F54" s="94">
        <v>5.0</v>
      </c>
      <c r="G54" s="86"/>
    </row>
    <row r="55">
      <c r="A55" s="106"/>
      <c r="B55" s="107"/>
      <c r="C55" s="94" t="s">
        <v>275</v>
      </c>
      <c r="D55" s="105">
        <v>2.0</v>
      </c>
      <c r="E55" s="107"/>
      <c r="F55" s="94">
        <v>2.0</v>
      </c>
      <c r="G55" s="107"/>
    </row>
    <row r="56">
      <c r="A56" s="5"/>
      <c r="B56" s="5"/>
      <c r="C56" s="112" t="s">
        <v>281</v>
      </c>
      <c r="D56" s="113">
        <v>3.0</v>
      </c>
      <c r="E56" s="5"/>
      <c r="F56" s="5"/>
      <c r="G56" s="5"/>
    </row>
    <row r="57">
      <c r="A57" s="5"/>
      <c r="B57" s="5"/>
      <c r="C57" s="112" t="s">
        <v>282</v>
      </c>
      <c r="D57" s="113">
        <v>1.0</v>
      </c>
      <c r="E57" s="5"/>
      <c r="F57" s="7">
        <v>2.0</v>
      </c>
      <c r="G57" s="5"/>
    </row>
    <row r="58">
      <c r="A58" s="5"/>
      <c r="B58" s="5"/>
      <c r="C58" s="112" t="s">
        <v>283</v>
      </c>
      <c r="D58" s="113">
        <v>3.0</v>
      </c>
      <c r="E58" s="5"/>
      <c r="F58" s="7">
        <v>3.0</v>
      </c>
      <c r="G58" s="5"/>
    </row>
    <row r="59">
      <c r="A59" s="106"/>
      <c r="B59" s="107"/>
      <c r="C59" s="107"/>
      <c r="D59" s="95"/>
      <c r="E59" s="107"/>
      <c r="F59" s="107"/>
      <c r="G59" s="107"/>
    </row>
    <row r="60">
      <c r="A60" s="101">
        <f>A13</f>
        <v>5</v>
      </c>
      <c r="B60" s="93" t="s">
        <v>284</v>
      </c>
      <c r="C60" s="80"/>
      <c r="D60" s="80"/>
      <c r="E60" s="80"/>
      <c r="F60" s="80"/>
      <c r="G60" s="80"/>
    </row>
    <row r="61">
      <c r="A61" s="92"/>
      <c r="B61" s="103"/>
      <c r="C61" s="104" t="s">
        <v>285</v>
      </c>
      <c r="D61" s="104">
        <v>3.0</v>
      </c>
      <c r="E61" s="86"/>
      <c r="F61" s="104">
        <v>2.0</v>
      </c>
      <c r="G61" s="86"/>
    </row>
    <row r="62">
      <c r="A62" s="92"/>
      <c r="B62" s="103"/>
      <c r="C62" s="104" t="s">
        <v>286</v>
      </c>
      <c r="D62" s="104">
        <v>5.0</v>
      </c>
      <c r="E62" s="86"/>
      <c r="F62" s="104">
        <v>5.0</v>
      </c>
      <c r="G62" s="86"/>
    </row>
    <row r="63">
      <c r="A63" s="106"/>
      <c r="B63" s="107"/>
      <c r="C63" s="94" t="s">
        <v>287</v>
      </c>
      <c r="D63" s="105">
        <v>5.0</v>
      </c>
      <c r="E63" s="107"/>
      <c r="F63" s="94">
        <v>3.0</v>
      </c>
      <c r="G63" s="107"/>
    </row>
    <row r="64">
      <c r="A64" s="5"/>
      <c r="B64" s="5"/>
      <c r="C64" s="112" t="s">
        <v>288</v>
      </c>
      <c r="D64" s="113">
        <v>2.0</v>
      </c>
      <c r="E64" s="5"/>
      <c r="F64" s="7">
        <v>2.0</v>
      </c>
      <c r="G64" s="5"/>
    </row>
    <row r="65">
      <c r="A65" s="5"/>
      <c r="B65" s="5"/>
      <c r="C65" s="112" t="s">
        <v>289</v>
      </c>
      <c r="D65" s="113">
        <v>3.0</v>
      </c>
      <c r="E65" s="5"/>
      <c r="F65" s="7">
        <v>2.0</v>
      </c>
      <c r="G65" s="5"/>
    </row>
    <row r="66">
      <c r="A66" s="5"/>
      <c r="B66" s="5"/>
      <c r="C66" s="112" t="s">
        <v>290</v>
      </c>
      <c r="D66" s="113">
        <v>3.0</v>
      </c>
      <c r="E66" s="5"/>
      <c r="F66" s="7">
        <v>2.0</v>
      </c>
      <c r="G66" s="5"/>
    </row>
    <row r="67">
      <c r="A67" s="106"/>
      <c r="B67" s="107"/>
      <c r="C67" s="107"/>
      <c r="D67" s="95"/>
      <c r="E67" s="107"/>
      <c r="F67" s="107"/>
      <c r="G67" s="107"/>
    </row>
    <row r="68">
      <c r="A68" s="101">
        <f>A14</f>
        <v>6</v>
      </c>
      <c r="B68" s="93" t="s">
        <v>253</v>
      </c>
      <c r="C68" s="80"/>
      <c r="D68" s="80"/>
      <c r="E68" s="80"/>
      <c r="F68" s="80"/>
      <c r="G68" s="80"/>
    </row>
    <row r="69">
      <c r="A69" s="92"/>
      <c r="B69" s="103"/>
      <c r="C69" s="104" t="s">
        <v>291</v>
      </c>
      <c r="D69" s="104">
        <v>5.0</v>
      </c>
      <c r="E69" s="86"/>
      <c r="F69" s="104">
        <v>5.0</v>
      </c>
      <c r="G69" s="86"/>
    </row>
    <row r="70">
      <c r="A70" s="106"/>
      <c r="B70" s="107"/>
      <c r="C70" s="94" t="s">
        <v>281</v>
      </c>
      <c r="D70" s="105">
        <v>3.0</v>
      </c>
      <c r="E70" s="107"/>
      <c r="F70" s="94">
        <v>3.0</v>
      </c>
      <c r="G70" s="107"/>
    </row>
    <row r="71">
      <c r="A71" s="92"/>
      <c r="B71" s="103"/>
      <c r="C71" s="104" t="s">
        <v>292</v>
      </c>
      <c r="D71" s="104">
        <v>5.0</v>
      </c>
      <c r="E71" s="86"/>
      <c r="F71" s="104">
        <v>8.0</v>
      </c>
      <c r="G71" s="86"/>
    </row>
    <row r="72">
      <c r="A72" s="106"/>
      <c r="B72" s="107"/>
      <c r="C72" s="94" t="s">
        <v>293</v>
      </c>
      <c r="D72" s="105">
        <v>3.0</v>
      </c>
      <c r="E72" s="107"/>
      <c r="F72" s="94">
        <v>3.0</v>
      </c>
      <c r="G72" s="107"/>
    </row>
    <row r="73">
      <c r="A73" s="5"/>
      <c r="B73" s="5"/>
      <c r="C73" s="112" t="s">
        <v>294</v>
      </c>
      <c r="D73" s="113">
        <v>3.0</v>
      </c>
      <c r="E73" s="5"/>
      <c r="F73" s="5"/>
      <c r="G73" s="5"/>
    </row>
    <row r="74">
      <c r="A74" s="5"/>
      <c r="B74" s="5"/>
      <c r="C74" s="112"/>
      <c r="D74" s="113"/>
      <c r="E74" s="5"/>
      <c r="F74" s="5"/>
      <c r="G74" s="5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2" max="2" width="8.13"/>
  </cols>
  <sheetData>
    <row r="23">
      <c r="A23" s="64" t="s">
        <v>295</v>
      </c>
      <c r="B23" s="68">
        <f>'Velocity Tracking'!C2</f>
        <v>18.85714286</v>
      </c>
      <c r="C23" s="64" t="s">
        <v>230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4" t="s">
        <v>232</v>
      </c>
      <c r="B1" s="114" t="s">
        <v>237</v>
      </c>
      <c r="C1" s="76" t="s">
        <v>238</v>
      </c>
      <c r="D1" s="77" t="s">
        <v>239</v>
      </c>
      <c r="E1" s="77" t="s">
        <v>240</v>
      </c>
      <c r="F1" s="77" t="s">
        <v>241</v>
      </c>
      <c r="G1" s="77" t="s">
        <v>242</v>
      </c>
    </row>
    <row r="2">
      <c r="A2" s="78"/>
      <c r="B2" s="80"/>
      <c r="C2" s="80"/>
      <c r="D2" s="80"/>
      <c r="E2" s="80"/>
      <c r="F2" s="80"/>
      <c r="G2" s="80"/>
    </row>
    <row r="3">
      <c r="A3" s="81" t="s">
        <v>243</v>
      </c>
      <c r="B3" s="83"/>
      <c r="C3" s="83"/>
      <c r="D3" s="83"/>
      <c r="E3" s="83"/>
      <c r="F3" s="83"/>
      <c r="G3" s="83"/>
    </row>
    <row r="4">
      <c r="A4" s="78"/>
      <c r="B4" s="80"/>
      <c r="C4" s="80"/>
      <c r="D4" s="80"/>
      <c r="E4" s="80"/>
      <c r="F4" s="80"/>
      <c r="G4" s="80"/>
    </row>
    <row r="5">
      <c r="A5" s="84" t="s">
        <v>244</v>
      </c>
      <c r="B5" s="86"/>
      <c r="C5" s="86"/>
      <c r="D5" s="87">
        <f>sum(D8:D20)</f>
        <v>199</v>
      </c>
      <c r="E5" s="87">
        <f>D5</f>
        <v>199</v>
      </c>
      <c r="F5" s="86"/>
      <c r="G5" s="86"/>
    </row>
    <row r="6">
      <c r="A6" s="78"/>
      <c r="B6" s="80"/>
      <c r="C6" s="80"/>
      <c r="D6" s="80"/>
      <c r="E6" s="80"/>
      <c r="F6" s="80"/>
      <c r="G6" s="80"/>
    </row>
    <row r="7">
      <c r="A7" s="88" t="s">
        <v>245</v>
      </c>
      <c r="B7" s="115"/>
      <c r="C7" s="90"/>
      <c r="D7" s="90"/>
      <c r="E7" s="90"/>
      <c r="F7" s="90"/>
      <c r="G7" s="90"/>
    </row>
    <row r="8">
      <c r="A8" s="78"/>
      <c r="B8" s="80"/>
      <c r="C8" s="80"/>
      <c r="D8" s="80"/>
      <c r="E8" s="91" t="s">
        <v>246</v>
      </c>
      <c r="F8" s="80"/>
      <c r="G8" s="91" t="s">
        <v>247</v>
      </c>
    </row>
    <row r="9">
      <c r="A9" s="97">
        <v>7.0</v>
      </c>
      <c r="B9" s="93" t="s">
        <v>296</v>
      </c>
      <c r="C9" s="86"/>
      <c r="D9" s="87">
        <f>sum(D23:D32)</f>
        <v>31</v>
      </c>
      <c r="E9" s="87">
        <f>$D$5</f>
        <v>199</v>
      </c>
      <c r="F9" s="87">
        <f>sum(F23:F32)</f>
        <v>25</v>
      </c>
      <c r="G9" s="87">
        <f>$D$5</f>
        <v>199</v>
      </c>
    </row>
    <row r="10">
      <c r="A10" s="96">
        <v>8.0</v>
      </c>
      <c r="B10" s="116" t="s">
        <v>297</v>
      </c>
      <c r="C10" s="80"/>
      <c r="D10" s="105">
        <v>26.0</v>
      </c>
      <c r="E10" s="105">
        <f t="shared" ref="E10:E17" si="1">E9-D9</f>
        <v>168</v>
      </c>
      <c r="F10" s="95">
        <f>sum(F35:F39)</f>
        <v>0</v>
      </c>
      <c r="G10" s="95">
        <f>G9-F9</f>
        <v>174</v>
      </c>
    </row>
    <row r="11">
      <c r="A11" s="97">
        <v>9.0</v>
      </c>
      <c r="B11" s="93" t="s">
        <v>298</v>
      </c>
      <c r="C11" s="86"/>
      <c r="D11" s="108">
        <v>28.0</v>
      </c>
      <c r="E11" s="105">
        <f t="shared" si="1"/>
        <v>142</v>
      </c>
      <c r="F11" s="87"/>
      <c r="G11" s="87"/>
    </row>
    <row r="12">
      <c r="A12" s="96">
        <v>10.0</v>
      </c>
      <c r="B12" s="116" t="s">
        <v>299</v>
      </c>
      <c r="C12" s="80"/>
      <c r="D12" s="105">
        <v>24.0</v>
      </c>
      <c r="E12" s="105">
        <f t="shared" si="1"/>
        <v>114</v>
      </c>
      <c r="F12" s="95"/>
      <c r="G12" s="95"/>
    </row>
    <row r="13">
      <c r="A13" s="97">
        <v>11.0</v>
      </c>
      <c r="B13" s="93" t="s">
        <v>300</v>
      </c>
      <c r="C13" s="86"/>
      <c r="D13" s="108">
        <v>22.0</v>
      </c>
      <c r="E13" s="105">
        <f t="shared" si="1"/>
        <v>90</v>
      </c>
      <c r="F13" s="87"/>
      <c r="G13" s="87"/>
    </row>
    <row r="14">
      <c r="A14" s="96">
        <v>12.0</v>
      </c>
      <c r="B14" s="116" t="s">
        <v>301</v>
      </c>
      <c r="C14" s="80"/>
      <c r="D14" s="105">
        <v>20.0</v>
      </c>
      <c r="E14" s="105">
        <f t="shared" si="1"/>
        <v>68</v>
      </c>
      <c r="F14" s="95"/>
      <c r="G14" s="95"/>
    </row>
    <row r="15">
      <c r="A15" s="97">
        <v>13.0</v>
      </c>
      <c r="B15" s="93" t="s">
        <v>302</v>
      </c>
      <c r="C15" s="86"/>
      <c r="D15" s="108">
        <v>16.0</v>
      </c>
      <c r="E15" s="105">
        <f t="shared" si="1"/>
        <v>48</v>
      </c>
      <c r="F15" s="87"/>
      <c r="G15" s="87"/>
    </row>
    <row r="16">
      <c r="A16" s="96">
        <v>14.0</v>
      </c>
      <c r="B16" s="116" t="s">
        <v>303</v>
      </c>
      <c r="C16" s="80"/>
      <c r="D16" s="105">
        <v>18.0</v>
      </c>
      <c r="E16" s="105">
        <f t="shared" si="1"/>
        <v>32</v>
      </c>
      <c r="F16" s="95"/>
      <c r="G16" s="95"/>
    </row>
    <row r="17">
      <c r="A17" s="97"/>
      <c r="B17" s="93"/>
      <c r="C17" s="86"/>
      <c r="D17" s="108">
        <v>14.0</v>
      </c>
      <c r="E17" s="108">
        <f t="shared" si="1"/>
        <v>14</v>
      </c>
      <c r="F17" s="87"/>
      <c r="G17" s="87"/>
    </row>
    <row r="18">
      <c r="A18" s="96"/>
      <c r="B18" s="80"/>
      <c r="C18" s="80"/>
      <c r="D18" s="80"/>
      <c r="E18" s="95">
        <f>E11-D11</f>
        <v>114</v>
      </c>
      <c r="F18" s="80"/>
      <c r="G18" s="95">
        <f>G11-F11</f>
        <v>0</v>
      </c>
    </row>
    <row r="19">
      <c r="A19" s="97"/>
      <c r="B19" s="86"/>
      <c r="C19" s="86"/>
      <c r="D19" s="86"/>
      <c r="E19" s="87"/>
      <c r="F19" s="86"/>
      <c r="G19" s="87"/>
    </row>
    <row r="20">
      <c r="A20" s="106"/>
      <c r="B20" s="80"/>
      <c r="C20" s="80"/>
      <c r="D20" s="80"/>
      <c r="E20" s="80"/>
      <c r="F20" s="80"/>
      <c r="G20" s="80"/>
    </row>
    <row r="21">
      <c r="A21" s="98" t="s">
        <v>254</v>
      </c>
      <c r="B21" s="99"/>
      <c r="C21" s="100"/>
      <c r="D21" s="100"/>
      <c r="E21" s="100"/>
      <c r="F21" s="100"/>
      <c r="G21" s="100"/>
    </row>
    <row r="22">
      <c r="A22" s="106"/>
      <c r="B22" s="80"/>
      <c r="C22" s="80"/>
      <c r="D22" s="80"/>
      <c r="E22" s="80"/>
      <c r="F22" s="80"/>
      <c r="G22" s="80"/>
    </row>
    <row r="23">
      <c r="A23" s="117">
        <f>A9</f>
        <v>7</v>
      </c>
      <c r="B23" s="93" t="s">
        <v>296</v>
      </c>
      <c r="C23" s="86"/>
      <c r="D23" s="86"/>
      <c r="E23" s="86"/>
      <c r="F23" s="86"/>
      <c r="G23" s="86"/>
    </row>
    <row r="24">
      <c r="A24" s="106"/>
      <c r="B24" s="107"/>
      <c r="C24" s="109" t="s">
        <v>304</v>
      </c>
      <c r="D24" s="109">
        <v>3.0</v>
      </c>
      <c r="E24" s="80"/>
      <c r="F24" s="80"/>
      <c r="G24" s="80"/>
    </row>
    <row r="25">
      <c r="A25" s="92"/>
      <c r="B25" s="86"/>
      <c r="C25" s="103" t="s">
        <v>305</v>
      </c>
      <c r="D25" s="87">
        <v>5.0</v>
      </c>
      <c r="E25" s="103"/>
      <c r="F25" s="108">
        <v>5.0</v>
      </c>
      <c r="G25" s="103"/>
    </row>
    <row r="26">
      <c r="A26" s="106"/>
      <c r="B26" s="107"/>
      <c r="C26" s="109" t="s">
        <v>306</v>
      </c>
      <c r="D26" s="109">
        <v>5.0</v>
      </c>
      <c r="E26" s="80"/>
      <c r="F26" s="109">
        <v>5.0</v>
      </c>
      <c r="G26" s="80"/>
    </row>
    <row r="27">
      <c r="A27" s="92"/>
      <c r="B27" s="86"/>
      <c r="C27" s="103" t="s">
        <v>307</v>
      </c>
      <c r="D27" s="87">
        <v>1.0</v>
      </c>
      <c r="E27" s="103"/>
      <c r="F27" s="108">
        <v>1.0</v>
      </c>
      <c r="G27" s="103"/>
    </row>
    <row r="28">
      <c r="A28" s="106"/>
      <c r="B28" s="80"/>
      <c r="C28" s="107" t="s">
        <v>308</v>
      </c>
      <c r="D28" s="95">
        <v>3.0</v>
      </c>
      <c r="E28" s="107"/>
      <c r="F28" s="105">
        <v>5.0</v>
      </c>
      <c r="G28" s="107"/>
    </row>
    <row r="29">
      <c r="A29" s="92"/>
      <c r="B29" s="103"/>
      <c r="C29" s="104" t="s">
        <v>309</v>
      </c>
      <c r="D29" s="104">
        <v>5.0</v>
      </c>
      <c r="E29" s="86"/>
      <c r="F29" s="86"/>
      <c r="G29" s="86"/>
    </row>
    <row r="30">
      <c r="A30" s="106"/>
      <c r="B30" s="80"/>
      <c r="C30" s="107" t="s">
        <v>310</v>
      </c>
      <c r="D30" s="95">
        <v>3.0</v>
      </c>
      <c r="E30" s="107"/>
      <c r="F30" s="105">
        <v>3.0</v>
      </c>
      <c r="G30" s="107"/>
    </row>
    <row r="31">
      <c r="A31" s="92"/>
      <c r="B31" s="103"/>
      <c r="C31" s="104" t="s">
        <v>311</v>
      </c>
      <c r="D31" s="104">
        <v>3.0</v>
      </c>
      <c r="E31" s="86"/>
      <c r="F31" s="104">
        <v>3.0</v>
      </c>
      <c r="G31" s="86"/>
    </row>
    <row r="32">
      <c r="A32" s="106"/>
      <c r="B32" s="80"/>
      <c r="C32" s="107" t="s">
        <v>312</v>
      </c>
      <c r="D32" s="95">
        <v>3.0</v>
      </c>
      <c r="E32" s="107"/>
      <c r="F32" s="105">
        <v>3.0</v>
      </c>
      <c r="G32" s="107"/>
    </row>
    <row r="33">
      <c r="A33" s="92"/>
      <c r="B33" s="86"/>
      <c r="C33" s="103"/>
      <c r="D33" s="87"/>
      <c r="E33" s="103"/>
      <c r="F33" s="108"/>
      <c r="G33" s="103"/>
    </row>
    <row r="34">
      <c r="A34" s="106"/>
      <c r="B34" s="107"/>
      <c r="C34" s="109"/>
      <c r="D34" s="109"/>
      <c r="E34" s="80"/>
      <c r="F34" s="80"/>
      <c r="G34" s="80"/>
    </row>
    <row r="35">
      <c r="A35" s="117">
        <f>A10</f>
        <v>8</v>
      </c>
      <c r="B35" s="93" t="s">
        <v>297</v>
      </c>
      <c r="C35" s="86"/>
      <c r="D35" s="86"/>
      <c r="E35" s="86"/>
      <c r="F35" s="86"/>
      <c r="G35" s="86"/>
    </row>
    <row r="36">
      <c r="A36" s="106"/>
      <c r="B36" s="80"/>
      <c r="C36" s="118" t="s">
        <v>313</v>
      </c>
      <c r="D36" s="118">
        <v>2.0</v>
      </c>
      <c r="E36" s="107"/>
      <c r="F36" s="95"/>
      <c r="G36" s="107"/>
    </row>
    <row r="37">
      <c r="A37" s="92"/>
      <c r="B37" s="86"/>
      <c r="C37" s="118" t="s">
        <v>314</v>
      </c>
      <c r="D37" s="118">
        <v>3.0</v>
      </c>
      <c r="E37" s="86"/>
      <c r="F37" s="87"/>
      <c r="G37" s="86"/>
    </row>
    <row r="38">
      <c r="A38" s="106"/>
      <c r="B38" s="80"/>
      <c r="C38" s="118" t="s">
        <v>315</v>
      </c>
      <c r="D38" s="118">
        <v>2.0</v>
      </c>
      <c r="E38" s="107"/>
      <c r="F38" s="95"/>
      <c r="G38" s="107"/>
    </row>
    <row r="39">
      <c r="A39" s="92"/>
      <c r="B39" s="86"/>
      <c r="C39" s="118" t="s">
        <v>316</v>
      </c>
      <c r="D39" s="118">
        <v>5.0</v>
      </c>
      <c r="E39" s="86"/>
      <c r="F39" s="87"/>
      <c r="G39" s="86"/>
    </row>
    <row r="40">
      <c r="B40" s="80"/>
      <c r="C40" s="118" t="s">
        <v>317</v>
      </c>
      <c r="D40" s="118">
        <v>1.0</v>
      </c>
      <c r="E40" s="80"/>
      <c r="F40" s="80"/>
      <c r="G40" s="80"/>
    </row>
    <row r="41">
      <c r="A41" s="92"/>
      <c r="B41" s="103"/>
      <c r="C41" s="118" t="s">
        <v>281</v>
      </c>
      <c r="D41" s="118">
        <v>3.0</v>
      </c>
      <c r="E41" s="86"/>
      <c r="F41" s="86"/>
      <c r="G41" s="86"/>
    </row>
    <row r="42">
      <c r="A42" s="106"/>
      <c r="B42" s="80"/>
      <c r="C42" s="118" t="s">
        <v>318</v>
      </c>
      <c r="D42" s="118">
        <v>2.0</v>
      </c>
      <c r="E42" s="107"/>
      <c r="F42" s="107"/>
      <c r="G42" s="107"/>
    </row>
    <row r="43">
      <c r="A43" s="92"/>
      <c r="B43" s="86"/>
      <c r="C43" s="119" t="s">
        <v>319</v>
      </c>
      <c r="D43" s="119">
        <v>3.0</v>
      </c>
      <c r="E43" s="103"/>
      <c r="F43" s="103"/>
      <c r="G43" s="103"/>
    </row>
    <row r="44">
      <c r="A44" s="106"/>
      <c r="B44" s="80"/>
      <c r="C44" s="118" t="s">
        <v>320</v>
      </c>
      <c r="D44" s="118">
        <v>5.0</v>
      </c>
      <c r="E44" s="107"/>
      <c r="F44" s="107"/>
      <c r="G44" s="107"/>
    </row>
    <row r="45">
      <c r="A45" s="92"/>
      <c r="B45" s="86"/>
      <c r="C45" s="119" t="s">
        <v>321</v>
      </c>
      <c r="D45" s="119">
        <v>2.0</v>
      </c>
      <c r="E45" s="103"/>
      <c r="F45" s="103"/>
      <c r="G45" s="103"/>
    </row>
    <row r="46">
      <c r="A46" s="106"/>
      <c r="B46" s="80"/>
      <c r="C46" s="118" t="s">
        <v>294</v>
      </c>
      <c r="D46" s="118">
        <v>2.0</v>
      </c>
      <c r="E46" s="107"/>
      <c r="F46" s="107"/>
      <c r="G46" s="107"/>
    </row>
    <row r="47">
      <c r="A47" s="8"/>
      <c r="B47" s="8"/>
      <c r="C47" s="120" t="s">
        <v>304</v>
      </c>
      <c r="D47" s="121">
        <v>2.0</v>
      </c>
      <c r="E47" s="8"/>
      <c r="F47" s="8"/>
      <c r="G47" s="8"/>
    </row>
    <row r="48">
      <c r="A48" s="106"/>
      <c r="B48" s="80"/>
      <c r="C48" s="122"/>
      <c r="D48" s="122"/>
      <c r="E48" s="80"/>
      <c r="F48" s="80"/>
      <c r="G48" s="80"/>
    </row>
    <row r="49">
      <c r="A49" s="117">
        <f>A11</f>
        <v>9</v>
      </c>
      <c r="B49" s="123" t="s">
        <v>298</v>
      </c>
      <c r="C49" s="86"/>
      <c r="D49" s="87"/>
      <c r="E49" s="103"/>
      <c r="F49" s="103"/>
      <c r="G49" s="103"/>
    </row>
    <row r="50">
      <c r="A50" s="92"/>
      <c r="B50" s="86"/>
      <c r="C50" s="119" t="s">
        <v>322</v>
      </c>
      <c r="D50" s="119">
        <v>3.0</v>
      </c>
      <c r="E50" s="86"/>
      <c r="F50" s="86"/>
      <c r="G50" s="86"/>
    </row>
    <row r="51">
      <c r="A51" s="106"/>
      <c r="B51" s="80"/>
      <c r="C51" s="122" t="s">
        <v>323</v>
      </c>
      <c r="D51" s="122">
        <v>5.0</v>
      </c>
      <c r="E51" s="80"/>
      <c r="F51" s="80"/>
      <c r="G51" s="80"/>
    </row>
    <row r="52">
      <c r="A52" s="92"/>
      <c r="B52" s="86"/>
      <c r="C52" s="119" t="s">
        <v>324</v>
      </c>
      <c r="D52" s="119">
        <v>5.0</v>
      </c>
      <c r="E52" s="86"/>
      <c r="F52" s="86"/>
      <c r="G52" s="86"/>
    </row>
    <row r="53">
      <c r="A53" s="106"/>
      <c r="B53" s="80"/>
      <c r="C53" s="122" t="s">
        <v>325</v>
      </c>
      <c r="D53" s="122">
        <v>3.0</v>
      </c>
      <c r="E53" s="80"/>
      <c r="F53" s="80"/>
      <c r="G53" s="80"/>
    </row>
    <row r="54">
      <c r="A54" s="92"/>
      <c r="B54" s="86"/>
      <c r="C54" s="119" t="s">
        <v>326</v>
      </c>
      <c r="D54" s="119">
        <v>5.0</v>
      </c>
      <c r="E54" s="86"/>
      <c r="F54" s="86"/>
      <c r="G54" s="86"/>
    </row>
    <row r="55">
      <c r="A55" s="106"/>
      <c r="B55" s="80"/>
      <c r="C55" s="122"/>
      <c r="D55" s="122"/>
      <c r="E55" s="80"/>
      <c r="F55" s="80"/>
      <c r="G55" s="80"/>
    </row>
    <row r="56">
      <c r="A56" s="124">
        <v>10.0</v>
      </c>
      <c r="B56" s="123" t="s">
        <v>327</v>
      </c>
      <c r="C56" s="86"/>
      <c r="D56" s="86"/>
      <c r="E56" s="86"/>
      <c r="F56" s="86"/>
      <c r="G56" s="86"/>
    </row>
    <row r="57">
      <c r="A57" s="106"/>
      <c r="B57" s="80"/>
      <c r="C57" s="122" t="s">
        <v>328</v>
      </c>
      <c r="D57" s="122">
        <v>5.0</v>
      </c>
      <c r="E57" s="80"/>
      <c r="F57" s="80"/>
      <c r="G57" s="80"/>
    </row>
    <row r="58">
      <c r="A58" s="92"/>
      <c r="B58" s="86"/>
      <c r="C58" s="119" t="s">
        <v>329</v>
      </c>
      <c r="D58" s="119">
        <v>3.0</v>
      </c>
      <c r="E58" s="86"/>
      <c r="F58" s="86"/>
      <c r="G58" s="86"/>
    </row>
    <row r="59">
      <c r="A59" s="106"/>
      <c r="B59" s="80"/>
      <c r="C59" s="122" t="s">
        <v>330</v>
      </c>
      <c r="D59" s="122">
        <v>3.0</v>
      </c>
      <c r="E59" s="80"/>
      <c r="F59" s="80"/>
      <c r="G59" s="80"/>
    </row>
    <row r="60">
      <c r="A60" s="92"/>
      <c r="B60" s="86"/>
      <c r="C60" s="119" t="s">
        <v>331</v>
      </c>
      <c r="D60" s="119">
        <v>5.0</v>
      </c>
      <c r="E60" s="86"/>
      <c r="F60" s="86"/>
      <c r="G60" s="86"/>
    </row>
    <row r="61">
      <c r="A61" s="106"/>
      <c r="B61" s="80"/>
      <c r="C61" s="122" t="s">
        <v>332</v>
      </c>
      <c r="D61" s="122">
        <v>3.0</v>
      </c>
      <c r="E61" s="80"/>
      <c r="F61" s="80"/>
      <c r="G61" s="80"/>
    </row>
    <row r="62">
      <c r="A62" s="92"/>
      <c r="B62" s="86"/>
      <c r="C62" s="119"/>
      <c r="D62" s="119"/>
      <c r="E62" s="86"/>
      <c r="F62" s="86"/>
      <c r="G62" s="86"/>
    </row>
    <row r="63">
      <c r="A63" s="106"/>
      <c r="B63" s="80"/>
      <c r="C63" s="80"/>
      <c r="D63" s="80"/>
      <c r="E63" s="80"/>
      <c r="F63" s="80"/>
      <c r="G63" s="80"/>
    </row>
    <row r="64">
      <c r="A64" s="124">
        <v>11.0</v>
      </c>
      <c r="B64" s="123" t="s">
        <v>333</v>
      </c>
      <c r="C64" s="86"/>
      <c r="D64" s="86"/>
      <c r="E64" s="86"/>
      <c r="F64" s="86"/>
      <c r="G64" s="86"/>
    </row>
    <row r="65">
      <c r="A65" s="106"/>
      <c r="B65" s="80"/>
      <c r="C65" s="122" t="s">
        <v>334</v>
      </c>
      <c r="D65" s="122">
        <v>5.0</v>
      </c>
      <c r="E65" s="80"/>
      <c r="F65" s="80"/>
      <c r="G65" s="80"/>
    </row>
    <row r="66">
      <c r="A66" s="92"/>
      <c r="B66" s="86"/>
      <c r="C66" s="119" t="s">
        <v>335</v>
      </c>
      <c r="D66" s="119">
        <v>5.0</v>
      </c>
      <c r="E66" s="86"/>
      <c r="F66" s="86"/>
      <c r="G66" s="86"/>
    </row>
    <row r="67">
      <c r="A67" s="106"/>
      <c r="B67" s="80"/>
      <c r="C67" s="122" t="s">
        <v>336</v>
      </c>
      <c r="D67" s="122">
        <v>3.0</v>
      </c>
      <c r="E67" s="80"/>
      <c r="F67" s="80"/>
      <c r="G67" s="80"/>
    </row>
    <row r="68">
      <c r="A68" s="92"/>
      <c r="B68" s="86"/>
      <c r="C68" s="119" t="s">
        <v>337</v>
      </c>
      <c r="D68" s="119">
        <v>3.0</v>
      </c>
      <c r="E68" s="86"/>
      <c r="F68" s="86"/>
      <c r="G68" s="86"/>
    </row>
    <row r="69">
      <c r="A69" s="106"/>
      <c r="B69" s="80"/>
      <c r="C69" s="122" t="s">
        <v>338</v>
      </c>
      <c r="D69" s="122">
        <v>3.0</v>
      </c>
      <c r="E69" s="80"/>
      <c r="F69" s="80"/>
      <c r="G69" s="80"/>
    </row>
    <row r="70">
      <c r="A70" s="92"/>
      <c r="B70" s="86"/>
      <c r="C70" s="119"/>
      <c r="D70" s="119"/>
      <c r="E70" s="86"/>
      <c r="F70" s="86"/>
      <c r="G70" s="86"/>
    </row>
    <row r="71">
      <c r="A71" s="106"/>
      <c r="B71" s="80"/>
      <c r="C71" s="80"/>
      <c r="D71" s="80"/>
      <c r="E71" s="80"/>
      <c r="F71" s="80"/>
      <c r="G71" s="80"/>
    </row>
    <row r="72">
      <c r="A72" s="124">
        <v>12.0</v>
      </c>
      <c r="B72" s="123" t="s">
        <v>339</v>
      </c>
      <c r="C72" s="86"/>
      <c r="D72" s="86"/>
      <c r="E72" s="86"/>
      <c r="F72" s="86"/>
      <c r="G72" s="86"/>
    </row>
    <row r="73">
      <c r="A73" s="106"/>
      <c r="B73" s="80"/>
      <c r="C73" s="118" t="s">
        <v>340</v>
      </c>
      <c r="D73" s="118">
        <v>3.0</v>
      </c>
      <c r="E73" s="80"/>
      <c r="F73" s="80"/>
      <c r="G73" s="80"/>
    </row>
    <row r="74">
      <c r="A74" s="92"/>
      <c r="B74" s="86"/>
      <c r="C74" s="119" t="s">
        <v>341</v>
      </c>
      <c r="D74" s="119">
        <v>5.0</v>
      </c>
      <c r="E74" s="86"/>
      <c r="F74" s="86"/>
      <c r="G74" s="86"/>
    </row>
    <row r="75">
      <c r="A75" s="106"/>
      <c r="B75" s="80"/>
      <c r="C75" s="118" t="s">
        <v>342</v>
      </c>
      <c r="D75" s="118">
        <v>3.0</v>
      </c>
      <c r="E75" s="80"/>
      <c r="F75" s="80"/>
      <c r="G75" s="80"/>
    </row>
    <row r="76">
      <c r="A76" s="92"/>
      <c r="B76" s="86"/>
      <c r="C76" s="119" t="s">
        <v>343</v>
      </c>
      <c r="D76" s="119">
        <v>3.0</v>
      </c>
      <c r="E76" s="86"/>
      <c r="F76" s="86"/>
      <c r="G76" s="86"/>
    </row>
    <row r="77">
      <c r="A77" s="106"/>
      <c r="B77" s="80"/>
      <c r="C77" s="118" t="s">
        <v>344</v>
      </c>
      <c r="D77" s="118">
        <v>2.0</v>
      </c>
      <c r="E77" s="80"/>
      <c r="F77" s="80"/>
      <c r="G77" s="80"/>
    </row>
    <row r="78">
      <c r="A78" s="92"/>
      <c r="B78" s="86"/>
      <c r="C78" s="119" t="s">
        <v>345</v>
      </c>
      <c r="D78" s="119">
        <v>2.0</v>
      </c>
      <c r="E78" s="86"/>
      <c r="F78" s="86"/>
      <c r="G78" s="86"/>
    </row>
    <row r="79">
      <c r="A79" s="106"/>
      <c r="B79" s="80"/>
      <c r="C79" s="80"/>
      <c r="D79" s="80"/>
      <c r="E79" s="80"/>
      <c r="F79" s="80"/>
      <c r="G79" s="80"/>
    </row>
    <row r="80">
      <c r="A80" s="124">
        <v>13.0</v>
      </c>
      <c r="B80" s="123" t="s">
        <v>346</v>
      </c>
      <c r="C80" s="86"/>
      <c r="D80" s="86"/>
      <c r="E80" s="86"/>
      <c r="F80" s="86"/>
      <c r="G80" s="86"/>
    </row>
    <row r="81">
      <c r="A81" s="106"/>
      <c r="B81" s="80"/>
      <c r="C81" s="118" t="s">
        <v>347</v>
      </c>
      <c r="D81" s="118">
        <v>5.0</v>
      </c>
      <c r="E81" s="80"/>
      <c r="F81" s="80"/>
      <c r="G81" s="80"/>
    </row>
    <row r="82">
      <c r="A82" s="92"/>
      <c r="B82" s="86"/>
      <c r="C82" s="119" t="s">
        <v>348</v>
      </c>
      <c r="D82" s="119">
        <v>3.0</v>
      </c>
      <c r="E82" s="86"/>
      <c r="F82" s="86"/>
      <c r="G82" s="86"/>
    </row>
    <row r="83">
      <c r="A83" s="106"/>
      <c r="B83" s="80"/>
      <c r="C83" s="118" t="s">
        <v>349</v>
      </c>
      <c r="D83" s="118">
        <v>3.0</v>
      </c>
      <c r="E83" s="80"/>
      <c r="F83" s="80"/>
      <c r="G83" s="80"/>
    </row>
    <row r="84">
      <c r="A84" s="92"/>
      <c r="B84" s="86"/>
      <c r="C84" s="119" t="s">
        <v>350</v>
      </c>
      <c r="D84" s="119">
        <v>5.0</v>
      </c>
      <c r="E84" s="86"/>
      <c r="F84" s="86"/>
      <c r="G84" s="86"/>
    </row>
    <row r="85">
      <c r="A85" s="106"/>
      <c r="B85" s="80"/>
      <c r="C85" s="118" t="s">
        <v>351</v>
      </c>
      <c r="D85" s="118">
        <v>2.0</v>
      </c>
      <c r="E85" s="80"/>
      <c r="F85" s="80"/>
      <c r="G85" s="80"/>
    </row>
    <row r="86">
      <c r="A86" s="92"/>
      <c r="B86" s="86"/>
      <c r="C86" s="119"/>
      <c r="D86" s="119"/>
      <c r="E86" s="86"/>
      <c r="F86" s="86"/>
      <c r="G86" s="86"/>
    </row>
    <row r="87">
      <c r="A87" s="106"/>
      <c r="B87" s="80"/>
      <c r="C87" s="80"/>
      <c r="D87" s="80"/>
      <c r="E87" s="80"/>
      <c r="F87" s="80"/>
      <c r="G87" s="80"/>
    </row>
    <row r="88">
      <c r="A88" s="124">
        <v>14.0</v>
      </c>
      <c r="B88" s="93" t="s">
        <v>352</v>
      </c>
      <c r="C88" s="125"/>
      <c r="D88" s="125"/>
      <c r="E88" s="125"/>
      <c r="F88" s="125"/>
      <c r="G88" s="125"/>
    </row>
    <row r="89">
      <c r="A89" s="106"/>
      <c r="B89" s="80"/>
      <c r="C89" s="122" t="s">
        <v>353</v>
      </c>
      <c r="D89" s="122">
        <v>3.0</v>
      </c>
      <c r="E89" s="80"/>
      <c r="F89" s="80"/>
      <c r="G89" s="80"/>
    </row>
    <row r="90">
      <c r="A90" s="92"/>
      <c r="B90" s="86"/>
      <c r="C90" s="119" t="s">
        <v>354</v>
      </c>
      <c r="D90" s="119">
        <v>5.0</v>
      </c>
      <c r="E90" s="86"/>
      <c r="F90" s="86"/>
      <c r="G90" s="86"/>
    </row>
    <row r="91">
      <c r="A91" s="106"/>
      <c r="B91" s="80"/>
      <c r="C91" s="122" t="s">
        <v>355</v>
      </c>
      <c r="D91" s="122">
        <v>3.0</v>
      </c>
      <c r="E91" s="80"/>
      <c r="F91" s="80"/>
      <c r="G91" s="80"/>
    </row>
    <row r="92">
      <c r="A92" s="92"/>
      <c r="B92" s="86"/>
      <c r="C92" s="119" t="s">
        <v>356</v>
      </c>
      <c r="D92" s="119">
        <v>5.0</v>
      </c>
      <c r="E92" s="86"/>
      <c r="F92" s="86"/>
      <c r="G92" s="86"/>
    </row>
    <row r="93">
      <c r="A93" s="106"/>
      <c r="B93" s="80"/>
      <c r="C93" s="122" t="s">
        <v>357</v>
      </c>
      <c r="D93" s="122">
        <v>5.0</v>
      </c>
      <c r="E93" s="80"/>
      <c r="F93" s="80"/>
      <c r="G93" s="80"/>
    </row>
    <row r="94">
      <c r="A94" s="92"/>
      <c r="B94" s="86"/>
      <c r="C94" s="86"/>
      <c r="D94" s="86"/>
      <c r="E94" s="86"/>
      <c r="F94" s="86"/>
      <c r="G94" s="86"/>
    </row>
    <row r="95">
      <c r="A95" s="106"/>
      <c r="B95" s="80"/>
      <c r="C95" s="80"/>
      <c r="D95" s="80"/>
      <c r="E95" s="80"/>
      <c r="F95" s="80"/>
      <c r="G95" s="80"/>
    </row>
    <row r="96">
      <c r="A96" s="106"/>
      <c r="B96" s="80"/>
      <c r="C96" s="80"/>
      <c r="D96" s="80"/>
      <c r="E96" s="80"/>
      <c r="F96" s="80"/>
      <c r="G96" s="80"/>
    </row>
    <row r="97">
      <c r="A97" s="106"/>
      <c r="B97" s="80"/>
      <c r="C97" s="80"/>
      <c r="D97" s="80"/>
      <c r="E97" s="80"/>
      <c r="F97" s="80"/>
      <c r="G97" s="80"/>
    </row>
    <row r="98">
      <c r="A98" s="106"/>
      <c r="B98" s="80"/>
      <c r="C98" s="80"/>
      <c r="D98" s="80"/>
      <c r="E98" s="80"/>
      <c r="F98" s="80"/>
      <c r="G98" s="80"/>
    </row>
    <row r="99">
      <c r="A99" s="106"/>
      <c r="B99" s="80"/>
      <c r="C99" s="80"/>
      <c r="D99" s="80"/>
      <c r="E99" s="80"/>
      <c r="F99" s="80"/>
      <c r="G99" s="80"/>
    </row>
    <row r="100">
      <c r="A100" s="106"/>
      <c r="B100" s="80"/>
      <c r="C100" s="80"/>
      <c r="D100" s="80"/>
      <c r="E100" s="80"/>
      <c r="F100" s="80"/>
      <c r="G100" s="80"/>
    </row>
    <row r="101">
      <c r="A101" s="106"/>
      <c r="B101" s="80"/>
      <c r="C101" s="80"/>
      <c r="D101" s="80"/>
      <c r="E101" s="80"/>
      <c r="F101" s="80"/>
      <c r="G101" s="80"/>
    </row>
    <row r="102">
      <c r="A102" s="106"/>
      <c r="B102" s="80"/>
      <c r="C102" s="80"/>
      <c r="D102" s="80"/>
      <c r="E102" s="80"/>
      <c r="F102" s="80"/>
      <c r="G102" s="80"/>
    </row>
    <row r="103">
      <c r="A103" s="106"/>
      <c r="B103" s="80"/>
      <c r="C103" s="80"/>
      <c r="D103" s="80"/>
      <c r="E103" s="80"/>
      <c r="F103" s="80"/>
      <c r="G103" s="80"/>
    </row>
    <row r="104">
      <c r="A104" s="106"/>
      <c r="B104" s="80"/>
      <c r="C104" s="80"/>
      <c r="D104" s="80"/>
      <c r="E104" s="80"/>
      <c r="F104" s="80"/>
      <c r="G104" s="80"/>
    </row>
    <row r="105">
      <c r="A105" s="106"/>
      <c r="B105" s="80"/>
      <c r="C105" s="80"/>
      <c r="D105" s="80"/>
      <c r="E105" s="80"/>
      <c r="F105" s="80"/>
      <c r="G105" s="80"/>
    </row>
    <row r="106">
      <c r="A106" s="106"/>
      <c r="B106" s="80"/>
      <c r="C106" s="80"/>
      <c r="D106" s="80"/>
      <c r="E106" s="80"/>
      <c r="F106" s="80"/>
      <c r="G106" s="80"/>
    </row>
    <row r="107">
      <c r="A107" s="106"/>
      <c r="B107" s="80"/>
      <c r="C107" s="80"/>
      <c r="D107" s="80"/>
      <c r="E107" s="80"/>
      <c r="F107" s="80"/>
      <c r="G107" s="80"/>
    </row>
    <row r="108">
      <c r="A108" s="106"/>
      <c r="B108" s="80"/>
      <c r="C108" s="80"/>
      <c r="D108" s="80"/>
      <c r="E108" s="80"/>
      <c r="F108" s="80"/>
      <c r="G108" s="80"/>
    </row>
    <row r="109">
      <c r="A109" s="106"/>
      <c r="B109" s="80"/>
      <c r="C109" s="80"/>
      <c r="D109" s="80"/>
      <c r="E109" s="80"/>
      <c r="F109" s="80"/>
      <c r="G109" s="80"/>
    </row>
    <row r="110">
      <c r="A110" s="106"/>
      <c r="B110" s="80"/>
      <c r="C110" s="80"/>
      <c r="D110" s="80"/>
      <c r="E110" s="80"/>
      <c r="F110" s="80"/>
      <c r="G110" s="80"/>
    </row>
    <row r="111">
      <c r="A111" s="106"/>
      <c r="B111" s="80"/>
      <c r="C111" s="80"/>
      <c r="D111" s="80"/>
      <c r="E111" s="80"/>
      <c r="F111" s="80"/>
      <c r="G111" s="80"/>
    </row>
    <row r="112">
      <c r="A112" s="106"/>
      <c r="B112" s="80"/>
      <c r="C112" s="80"/>
      <c r="D112" s="80"/>
      <c r="E112" s="80"/>
      <c r="F112" s="80"/>
      <c r="G112" s="80"/>
    </row>
    <row r="113">
      <c r="A113" s="106"/>
      <c r="B113" s="80"/>
      <c r="C113" s="80"/>
      <c r="D113" s="80"/>
      <c r="E113" s="80"/>
      <c r="F113" s="80"/>
      <c r="G113" s="80"/>
    </row>
    <row r="114">
      <c r="A114" s="106"/>
      <c r="B114" s="80"/>
      <c r="C114" s="80"/>
      <c r="D114" s="80"/>
      <c r="E114" s="80"/>
      <c r="F114" s="80"/>
      <c r="G114" s="80"/>
    </row>
    <row r="115">
      <c r="A115" s="106"/>
      <c r="B115" s="80"/>
      <c r="C115" s="80"/>
      <c r="D115" s="80"/>
      <c r="E115" s="80"/>
      <c r="F115" s="80"/>
      <c r="G115" s="80"/>
    </row>
    <row r="116">
      <c r="A116" s="106"/>
      <c r="B116" s="80"/>
      <c r="C116" s="80"/>
      <c r="D116" s="80"/>
      <c r="E116" s="80"/>
      <c r="F116" s="80"/>
      <c r="G116" s="80"/>
    </row>
    <row r="117">
      <c r="A117" s="106"/>
      <c r="B117" s="80"/>
      <c r="C117" s="80"/>
      <c r="D117" s="80"/>
      <c r="E117" s="80"/>
      <c r="F117" s="80"/>
      <c r="G117" s="80"/>
    </row>
    <row r="118">
      <c r="A118" s="106"/>
      <c r="B118" s="80"/>
      <c r="C118" s="80"/>
      <c r="D118" s="80"/>
      <c r="E118" s="80"/>
      <c r="F118" s="80"/>
      <c r="G118" s="80"/>
    </row>
    <row r="119">
      <c r="A119" s="106"/>
      <c r="B119" s="80"/>
      <c r="C119" s="80"/>
      <c r="D119" s="80"/>
      <c r="E119" s="80"/>
      <c r="F119" s="80"/>
      <c r="G119" s="80"/>
    </row>
    <row r="120">
      <c r="A120" s="106"/>
      <c r="B120" s="80"/>
      <c r="C120" s="80"/>
      <c r="D120" s="80"/>
      <c r="E120" s="80"/>
      <c r="F120" s="80"/>
      <c r="G120" s="80"/>
    </row>
    <row r="121">
      <c r="A121" s="106"/>
      <c r="B121" s="80"/>
      <c r="C121" s="80"/>
      <c r="D121" s="80"/>
      <c r="E121" s="80"/>
      <c r="F121" s="80"/>
      <c r="G121" s="80"/>
    </row>
    <row r="122">
      <c r="A122" s="106"/>
      <c r="B122" s="80"/>
      <c r="C122" s="80"/>
      <c r="D122" s="80"/>
      <c r="E122" s="80"/>
      <c r="F122" s="80"/>
      <c r="G122" s="80"/>
    </row>
    <row r="123">
      <c r="A123" s="106"/>
      <c r="B123" s="80"/>
      <c r="C123" s="80"/>
      <c r="D123" s="80"/>
      <c r="E123" s="80"/>
      <c r="F123" s="80"/>
      <c r="G123" s="80"/>
    </row>
    <row r="124">
      <c r="A124" s="106"/>
      <c r="B124" s="80"/>
      <c r="C124" s="80"/>
      <c r="D124" s="80"/>
      <c r="E124" s="80"/>
      <c r="F124" s="80"/>
      <c r="G124" s="80"/>
    </row>
    <row r="125">
      <c r="A125" s="106"/>
      <c r="B125" s="80"/>
      <c r="C125" s="80"/>
      <c r="D125" s="80"/>
      <c r="E125" s="80"/>
      <c r="F125" s="80"/>
      <c r="G125" s="80"/>
    </row>
    <row r="126">
      <c r="A126" s="106"/>
      <c r="B126" s="80"/>
      <c r="C126" s="80"/>
      <c r="D126" s="80"/>
      <c r="E126" s="80"/>
      <c r="F126" s="80"/>
      <c r="G126" s="80"/>
    </row>
    <row r="127">
      <c r="A127" s="106"/>
      <c r="B127" s="80"/>
      <c r="C127" s="80"/>
      <c r="D127" s="80"/>
      <c r="E127" s="80"/>
      <c r="F127" s="80"/>
      <c r="G127" s="80"/>
    </row>
    <row r="128">
      <c r="A128" s="106"/>
      <c r="B128" s="80"/>
      <c r="C128" s="80"/>
      <c r="D128" s="80"/>
      <c r="E128" s="80"/>
      <c r="F128" s="80"/>
      <c r="G128" s="80"/>
    </row>
    <row r="129">
      <c r="A129" s="106"/>
      <c r="B129" s="80"/>
      <c r="C129" s="80"/>
      <c r="D129" s="80"/>
      <c r="E129" s="80"/>
      <c r="F129" s="80"/>
      <c r="G129" s="80"/>
    </row>
    <row r="130">
      <c r="A130" s="106"/>
      <c r="B130" s="80"/>
      <c r="C130" s="80"/>
      <c r="D130" s="80"/>
      <c r="E130" s="80"/>
      <c r="F130" s="80"/>
      <c r="G130" s="80"/>
    </row>
    <row r="131">
      <c r="A131" s="106"/>
      <c r="B131" s="80"/>
      <c r="C131" s="80"/>
      <c r="D131" s="80"/>
      <c r="E131" s="80"/>
      <c r="F131" s="80"/>
      <c r="G131" s="80"/>
    </row>
    <row r="132">
      <c r="A132" s="106"/>
      <c r="B132" s="80"/>
      <c r="C132" s="80"/>
      <c r="D132" s="80"/>
      <c r="E132" s="80"/>
      <c r="F132" s="80"/>
      <c r="G132" s="80"/>
    </row>
    <row r="133">
      <c r="A133" s="106"/>
      <c r="B133" s="80"/>
      <c r="C133" s="80"/>
      <c r="D133" s="80"/>
      <c r="E133" s="80"/>
      <c r="F133" s="80"/>
      <c r="G133" s="80"/>
    </row>
    <row r="134">
      <c r="A134" s="106"/>
      <c r="B134" s="80"/>
      <c r="C134" s="80"/>
      <c r="D134" s="80"/>
      <c r="E134" s="80"/>
      <c r="F134" s="80"/>
      <c r="G134" s="80"/>
    </row>
    <row r="135">
      <c r="A135" s="106"/>
      <c r="B135" s="80"/>
      <c r="C135" s="80"/>
      <c r="D135" s="80"/>
      <c r="E135" s="80"/>
      <c r="F135" s="80"/>
      <c r="G135" s="80"/>
    </row>
    <row r="136">
      <c r="A136" s="106"/>
      <c r="B136" s="80"/>
      <c r="C136" s="80"/>
      <c r="D136" s="80"/>
      <c r="E136" s="80"/>
      <c r="F136" s="80"/>
      <c r="G136" s="80"/>
    </row>
    <row r="137">
      <c r="A137" s="106"/>
      <c r="B137" s="80"/>
      <c r="C137" s="80"/>
      <c r="D137" s="80"/>
      <c r="E137" s="80"/>
      <c r="F137" s="80"/>
      <c r="G137" s="80"/>
    </row>
    <row r="138">
      <c r="A138" s="106"/>
      <c r="B138" s="80"/>
      <c r="C138" s="80"/>
      <c r="D138" s="80"/>
      <c r="E138" s="80"/>
      <c r="F138" s="80"/>
      <c r="G138" s="80"/>
    </row>
    <row r="139">
      <c r="A139" s="106"/>
      <c r="B139" s="80"/>
      <c r="C139" s="80"/>
      <c r="D139" s="80"/>
      <c r="E139" s="80"/>
      <c r="F139" s="80"/>
      <c r="G139" s="80"/>
    </row>
    <row r="140">
      <c r="A140" s="106"/>
      <c r="B140" s="80"/>
      <c r="C140" s="80"/>
      <c r="D140" s="80"/>
      <c r="E140" s="80"/>
      <c r="F140" s="80"/>
      <c r="G140" s="80"/>
    </row>
    <row r="141">
      <c r="A141" s="106"/>
      <c r="B141" s="80"/>
      <c r="C141" s="80"/>
      <c r="D141" s="80"/>
      <c r="E141" s="80"/>
      <c r="F141" s="80"/>
      <c r="G141" s="80"/>
    </row>
    <row r="142">
      <c r="A142" s="106"/>
      <c r="B142" s="80"/>
      <c r="C142" s="80"/>
      <c r="D142" s="80"/>
      <c r="E142" s="80"/>
      <c r="F142" s="80"/>
      <c r="G142" s="80"/>
    </row>
    <row r="143">
      <c r="A143" s="106"/>
      <c r="B143" s="80"/>
      <c r="C143" s="80"/>
      <c r="D143" s="80"/>
      <c r="E143" s="80"/>
      <c r="F143" s="80"/>
      <c r="G143" s="80"/>
    </row>
    <row r="144">
      <c r="A144" s="106"/>
      <c r="B144" s="80"/>
      <c r="C144" s="80"/>
      <c r="D144" s="80"/>
      <c r="E144" s="80"/>
      <c r="F144" s="80"/>
      <c r="G144" s="80"/>
    </row>
    <row r="145">
      <c r="A145" s="106"/>
      <c r="B145" s="80"/>
      <c r="C145" s="80"/>
      <c r="D145" s="80"/>
      <c r="E145" s="80"/>
      <c r="F145" s="80"/>
      <c r="G145" s="80"/>
    </row>
    <row r="146">
      <c r="A146" s="106"/>
      <c r="B146" s="80"/>
      <c r="C146" s="80"/>
      <c r="D146" s="80"/>
      <c r="E146" s="80"/>
      <c r="F146" s="80"/>
      <c r="G146" s="80"/>
    </row>
    <row r="147">
      <c r="A147" s="106"/>
      <c r="B147" s="80"/>
      <c r="C147" s="80"/>
      <c r="D147" s="80"/>
      <c r="E147" s="80"/>
      <c r="F147" s="80"/>
      <c r="G147" s="80"/>
    </row>
    <row r="148">
      <c r="A148" s="106"/>
      <c r="B148" s="80"/>
      <c r="C148" s="80"/>
      <c r="D148" s="80"/>
      <c r="E148" s="80"/>
      <c r="F148" s="80"/>
      <c r="G148" s="80"/>
    </row>
    <row r="149">
      <c r="A149" s="106"/>
      <c r="B149" s="80"/>
      <c r="C149" s="80"/>
      <c r="D149" s="80"/>
      <c r="E149" s="80"/>
      <c r="F149" s="80"/>
      <c r="G149" s="80"/>
    </row>
    <row r="150">
      <c r="A150" s="106"/>
      <c r="B150" s="80"/>
      <c r="C150" s="80"/>
      <c r="D150" s="80"/>
      <c r="E150" s="80"/>
      <c r="F150" s="80"/>
      <c r="G150" s="80"/>
    </row>
    <row r="151">
      <c r="A151" s="106"/>
      <c r="B151" s="80"/>
      <c r="C151" s="80"/>
      <c r="D151" s="80"/>
      <c r="E151" s="80"/>
      <c r="F151" s="80"/>
      <c r="G151" s="80"/>
    </row>
    <row r="152">
      <c r="A152" s="106"/>
      <c r="B152" s="80"/>
      <c r="C152" s="80"/>
      <c r="D152" s="80"/>
      <c r="E152" s="80"/>
      <c r="F152" s="80"/>
      <c r="G152" s="80"/>
    </row>
    <row r="153">
      <c r="A153" s="106"/>
      <c r="B153" s="80"/>
      <c r="C153" s="80"/>
      <c r="D153" s="80"/>
      <c r="E153" s="80"/>
      <c r="F153" s="80"/>
      <c r="G153" s="80"/>
    </row>
    <row r="154">
      <c r="A154" s="106"/>
      <c r="B154" s="80"/>
      <c r="C154" s="80"/>
      <c r="D154" s="80"/>
      <c r="E154" s="80"/>
      <c r="F154" s="80"/>
      <c r="G154" s="80"/>
    </row>
    <row r="155">
      <c r="A155" s="106"/>
      <c r="B155" s="80"/>
      <c r="C155" s="80"/>
      <c r="D155" s="80"/>
      <c r="E155" s="80"/>
      <c r="F155" s="80"/>
      <c r="G155" s="80"/>
    </row>
    <row r="156">
      <c r="A156" s="106"/>
      <c r="B156" s="80"/>
      <c r="C156" s="80"/>
      <c r="D156" s="80"/>
      <c r="E156" s="80"/>
      <c r="F156" s="80"/>
      <c r="G156" s="80"/>
    </row>
    <row r="157">
      <c r="A157" s="106"/>
      <c r="B157" s="80"/>
      <c r="C157" s="80"/>
      <c r="D157" s="80"/>
      <c r="E157" s="80"/>
      <c r="F157" s="80"/>
      <c r="G157" s="80"/>
    </row>
    <row r="158">
      <c r="A158" s="106"/>
      <c r="B158" s="80"/>
      <c r="C158" s="80"/>
      <c r="D158" s="80"/>
      <c r="E158" s="80"/>
      <c r="F158" s="80"/>
      <c r="G158" s="80"/>
    </row>
    <row r="159">
      <c r="A159" s="106"/>
      <c r="B159" s="80"/>
      <c r="C159" s="80"/>
      <c r="D159" s="80"/>
      <c r="E159" s="80"/>
      <c r="F159" s="80"/>
      <c r="G159" s="80"/>
    </row>
    <row r="160">
      <c r="A160" s="106"/>
      <c r="B160" s="80"/>
      <c r="C160" s="80"/>
      <c r="D160" s="80"/>
      <c r="E160" s="80"/>
      <c r="F160" s="80"/>
      <c r="G160" s="80"/>
    </row>
    <row r="161">
      <c r="A161" s="106"/>
      <c r="B161" s="80"/>
      <c r="C161" s="80"/>
      <c r="D161" s="80"/>
      <c r="E161" s="80"/>
      <c r="F161" s="80"/>
      <c r="G161" s="80"/>
    </row>
    <row r="162">
      <c r="A162" s="106"/>
      <c r="B162" s="80"/>
      <c r="C162" s="80"/>
      <c r="D162" s="80"/>
      <c r="E162" s="80"/>
      <c r="F162" s="80"/>
      <c r="G162" s="80"/>
    </row>
    <row r="163">
      <c r="A163" s="106"/>
      <c r="B163" s="80"/>
      <c r="C163" s="80"/>
      <c r="D163" s="80"/>
      <c r="E163" s="80"/>
      <c r="F163" s="80"/>
      <c r="G163" s="80"/>
    </row>
    <row r="164">
      <c r="A164" s="106"/>
      <c r="B164" s="80"/>
      <c r="C164" s="80"/>
      <c r="D164" s="80"/>
      <c r="E164" s="80"/>
      <c r="F164" s="80"/>
      <c r="G164" s="80"/>
    </row>
    <row r="165">
      <c r="A165" s="106"/>
      <c r="B165" s="80"/>
      <c r="C165" s="80"/>
      <c r="D165" s="80"/>
      <c r="E165" s="80"/>
      <c r="F165" s="80"/>
      <c r="G165" s="80"/>
    </row>
    <row r="166">
      <c r="A166" s="106"/>
      <c r="B166" s="80"/>
      <c r="C166" s="80"/>
      <c r="D166" s="80"/>
      <c r="E166" s="80"/>
      <c r="F166" s="80"/>
      <c r="G166" s="80"/>
    </row>
    <row r="167">
      <c r="A167" s="106"/>
      <c r="B167" s="80"/>
      <c r="C167" s="80"/>
      <c r="D167" s="80"/>
      <c r="E167" s="80"/>
      <c r="F167" s="80"/>
      <c r="G167" s="80"/>
    </row>
    <row r="168">
      <c r="A168" s="106"/>
      <c r="B168" s="80"/>
      <c r="C168" s="80"/>
      <c r="D168" s="80"/>
      <c r="E168" s="80"/>
      <c r="F168" s="80"/>
      <c r="G168" s="80"/>
    </row>
    <row r="169">
      <c r="A169" s="106"/>
      <c r="B169" s="80"/>
      <c r="C169" s="80"/>
      <c r="D169" s="80"/>
      <c r="E169" s="80"/>
      <c r="F169" s="80"/>
      <c r="G169" s="80"/>
    </row>
    <row r="170">
      <c r="A170" s="106"/>
      <c r="B170" s="80"/>
      <c r="C170" s="80"/>
      <c r="D170" s="80"/>
      <c r="E170" s="80"/>
      <c r="F170" s="80"/>
      <c r="G170" s="80"/>
    </row>
    <row r="171">
      <c r="A171" s="106"/>
      <c r="B171" s="80"/>
      <c r="C171" s="80"/>
      <c r="D171" s="80"/>
      <c r="E171" s="80"/>
      <c r="F171" s="80"/>
      <c r="G171" s="80"/>
    </row>
    <row r="172">
      <c r="A172" s="106"/>
      <c r="B172" s="80"/>
      <c r="C172" s="80"/>
      <c r="D172" s="80"/>
      <c r="E172" s="80"/>
      <c r="F172" s="80"/>
      <c r="G172" s="80"/>
    </row>
    <row r="173">
      <c r="A173" s="106"/>
      <c r="B173" s="80"/>
      <c r="C173" s="80"/>
      <c r="D173" s="80"/>
      <c r="E173" s="80"/>
      <c r="F173" s="80"/>
      <c r="G173" s="80"/>
    </row>
    <row r="174">
      <c r="A174" s="106"/>
      <c r="B174" s="80"/>
      <c r="C174" s="80"/>
      <c r="D174" s="80"/>
      <c r="E174" s="80"/>
      <c r="F174" s="80"/>
      <c r="G174" s="80"/>
    </row>
    <row r="175">
      <c r="A175" s="106"/>
      <c r="B175" s="80"/>
      <c r="C175" s="80"/>
      <c r="D175" s="80"/>
      <c r="E175" s="80"/>
      <c r="F175" s="80"/>
      <c r="G175" s="80"/>
    </row>
    <row r="176">
      <c r="A176" s="106"/>
      <c r="B176" s="80"/>
      <c r="C176" s="80"/>
      <c r="D176" s="80"/>
      <c r="E176" s="80"/>
      <c r="F176" s="80"/>
      <c r="G176" s="80"/>
    </row>
    <row r="177">
      <c r="A177" s="106"/>
      <c r="B177" s="80"/>
      <c r="C177" s="80"/>
      <c r="D177" s="80"/>
      <c r="E177" s="80"/>
      <c r="F177" s="80"/>
      <c r="G177" s="80"/>
    </row>
    <row r="178">
      <c r="A178" s="106"/>
      <c r="B178" s="80"/>
      <c r="C178" s="80"/>
      <c r="D178" s="80"/>
      <c r="E178" s="80"/>
      <c r="F178" s="80"/>
      <c r="G178" s="80"/>
    </row>
    <row r="179">
      <c r="A179" s="106"/>
      <c r="B179" s="80"/>
      <c r="C179" s="80"/>
      <c r="D179" s="80"/>
      <c r="E179" s="80"/>
      <c r="F179" s="80"/>
      <c r="G179" s="80"/>
    </row>
    <row r="180">
      <c r="A180" s="106"/>
      <c r="B180" s="80"/>
      <c r="C180" s="80"/>
      <c r="D180" s="80"/>
      <c r="E180" s="80"/>
      <c r="F180" s="80"/>
      <c r="G180" s="80"/>
    </row>
    <row r="181">
      <c r="A181" s="106"/>
      <c r="B181" s="80"/>
      <c r="C181" s="80"/>
      <c r="D181" s="80"/>
      <c r="E181" s="80"/>
      <c r="F181" s="80"/>
      <c r="G181" s="80"/>
    </row>
    <row r="182">
      <c r="A182" s="106"/>
      <c r="B182" s="80"/>
      <c r="C182" s="80"/>
      <c r="D182" s="80"/>
      <c r="E182" s="80"/>
      <c r="F182" s="80"/>
      <c r="G182" s="80"/>
    </row>
    <row r="183">
      <c r="A183" s="106"/>
      <c r="B183" s="80"/>
      <c r="C183" s="80"/>
      <c r="D183" s="80"/>
      <c r="E183" s="80"/>
      <c r="F183" s="80"/>
      <c r="G183" s="80"/>
    </row>
    <row r="184">
      <c r="A184" s="106"/>
      <c r="B184" s="80"/>
      <c r="C184" s="80"/>
      <c r="D184" s="80"/>
      <c r="E184" s="80"/>
      <c r="F184" s="80"/>
      <c r="G184" s="80"/>
    </row>
    <row r="185">
      <c r="A185" s="106"/>
      <c r="B185" s="80"/>
      <c r="C185" s="80"/>
      <c r="D185" s="80"/>
      <c r="E185" s="80"/>
      <c r="F185" s="80"/>
      <c r="G185" s="80"/>
    </row>
    <row r="186">
      <c r="A186" s="106"/>
      <c r="B186" s="80"/>
      <c r="C186" s="80"/>
      <c r="D186" s="80"/>
      <c r="E186" s="80"/>
      <c r="F186" s="80"/>
      <c r="G186" s="80"/>
    </row>
    <row r="187">
      <c r="A187" s="106"/>
      <c r="B187" s="80"/>
      <c r="C187" s="80"/>
      <c r="D187" s="80"/>
      <c r="E187" s="80"/>
      <c r="F187" s="80"/>
      <c r="G187" s="80"/>
    </row>
    <row r="188">
      <c r="A188" s="106"/>
      <c r="B188" s="80"/>
      <c r="C188" s="80"/>
      <c r="D188" s="80"/>
      <c r="E188" s="80"/>
      <c r="F188" s="80"/>
      <c r="G188" s="80"/>
    </row>
    <row r="189">
      <c r="A189" s="106"/>
      <c r="B189" s="80"/>
      <c r="C189" s="80"/>
      <c r="D189" s="80"/>
      <c r="E189" s="80"/>
      <c r="F189" s="80"/>
      <c r="G189" s="80"/>
    </row>
    <row r="190">
      <c r="A190" s="106"/>
      <c r="B190" s="80"/>
      <c r="C190" s="80"/>
      <c r="D190" s="80"/>
      <c r="E190" s="80"/>
      <c r="F190" s="80"/>
      <c r="G190" s="80"/>
    </row>
    <row r="191">
      <c r="A191" s="106"/>
      <c r="B191" s="80"/>
      <c r="C191" s="80"/>
      <c r="D191" s="80"/>
      <c r="E191" s="80"/>
      <c r="F191" s="80"/>
      <c r="G191" s="80"/>
    </row>
    <row r="192">
      <c r="A192" s="106"/>
      <c r="B192" s="80"/>
      <c r="C192" s="80"/>
      <c r="D192" s="80"/>
      <c r="E192" s="80"/>
      <c r="F192" s="80"/>
      <c r="G192" s="80"/>
    </row>
    <row r="193">
      <c r="A193" s="106"/>
      <c r="B193" s="80"/>
      <c r="C193" s="80"/>
      <c r="D193" s="80"/>
      <c r="E193" s="80"/>
      <c r="F193" s="80"/>
      <c r="G193" s="80"/>
    </row>
    <row r="194">
      <c r="A194" s="106"/>
      <c r="B194" s="80"/>
      <c r="C194" s="80"/>
      <c r="D194" s="80"/>
      <c r="E194" s="80"/>
      <c r="F194" s="80"/>
      <c r="G194" s="80"/>
    </row>
    <row r="195">
      <c r="A195" s="106"/>
      <c r="B195" s="80"/>
      <c r="C195" s="80"/>
      <c r="D195" s="80"/>
      <c r="E195" s="80"/>
      <c r="F195" s="80"/>
      <c r="G195" s="80"/>
    </row>
    <row r="196">
      <c r="A196" s="106"/>
      <c r="B196" s="80"/>
      <c r="C196" s="80"/>
      <c r="D196" s="80"/>
      <c r="E196" s="80"/>
      <c r="F196" s="80"/>
      <c r="G196" s="80"/>
    </row>
    <row r="197">
      <c r="A197" s="106"/>
      <c r="B197" s="80"/>
      <c r="C197" s="80"/>
      <c r="D197" s="80"/>
      <c r="E197" s="80"/>
      <c r="F197" s="80"/>
      <c r="G197" s="80"/>
    </row>
    <row r="198">
      <c r="A198" s="106"/>
      <c r="B198" s="80"/>
      <c r="C198" s="80"/>
      <c r="D198" s="80"/>
      <c r="E198" s="80"/>
      <c r="F198" s="80"/>
      <c r="G198" s="80"/>
    </row>
    <row r="199">
      <c r="A199" s="106"/>
      <c r="B199" s="80"/>
      <c r="C199" s="80"/>
      <c r="D199" s="80"/>
      <c r="E199" s="80"/>
      <c r="F199" s="80"/>
      <c r="G199" s="80"/>
    </row>
    <row r="200">
      <c r="A200" s="106"/>
      <c r="B200" s="80"/>
      <c r="C200" s="80"/>
      <c r="D200" s="80"/>
      <c r="E200" s="80"/>
      <c r="F200" s="80"/>
      <c r="G200" s="80"/>
    </row>
    <row r="201">
      <c r="A201" s="106"/>
      <c r="B201" s="80"/>
      <c r="C201" s="80"/>
      <c r="D201" s="80"/>
      <c r="E201" s="80"/>
      <c r="F201" s="80"/>
      <c r="G201" s="80"/>
    </row>
    <row r="202">
      <c r="A202" s="106"/>
      <c r="B202" s="80"/>
      <c r="C202" s="80"/>
      <c r="D202" s="80"/>
      <c r="E202" s="80"/>
      <c r="F202" s="80"/>
      <c r="G202" s="80"/>
    </row>
    <row r="203">
      <c r="A203" s="106"/>
      <c r="B203" s="80"/>
      <c r="C203" s="80"/>
      <c r="D203" s="80"/>
      <c r="E203" s="80"/>
      <c r="F203" s="80"/>
      <c r="G203" s="80"/>
    </row>
    <row r="204">
      <c r="A204" s="106"/>
      <c r="B204" s="80"/>
      <c r="C204" s="80"/>
      <c r="D204" s="80"/>
      <c r="E204" s="80"/>
      <c r="F204" s="80"/>
      <c r="G204" s="80"/>
    </row>
    <row r="205">
      <c r="A205" s="106"/>
      <c r="B205" s="80"/>
      <c r="C205" s="80"/>
      <c r="D205" s="80"/>
      <c r="E205" s="80"/>
      <c r="F205" s="80"/>
      <c r="G205" s="80"/>
    </row>
    <row r="206">
      <c r="A206" s="106"/>
      <c r="B206" s="80"/>
      <c r="C206" s="80"/>
      <c r="D206" s="80"/>
      <c r="E206" s="80"/>
      <c r="F206" s="80"/>
      <c r="G206" s="80"/>
    </row>
    <row r="207">
      <c r="A207" s="106"/>
      <c r="B207" s="80"/>
      <c r="C207" s="80"/>
      <c r="D207" s="80"/>
      <c r="E207" s="80"/>
      <c r="F207" s="80"/>
      <c r="G207" s="80"/>
    </row>
    <row r="208">
      <c r="A208" s="106"/>
      <c r="B208" s="80"/>
      <c r="C208" s="80"/>
      <c r="D208" s="80"/>
      <c r="E208" s="80"/>
      <c r="F208" s="80"/>
      <c r="G208" s="80"/>
    </row>
    <row r="209">
      <c r="A209" s="106"/>
      <c r="B209" s="80"/>
      <c r="C209" s="80"/>
      <c r="D209" s="80"/>
      <c r="E209" s="80"/>
      <c r="F209" s="80"/>
      <c r="G209" s="80"/>
    </row>
    <row r="210">
      <c r="A210" s="106"/>
      <c r="B210" s="80"/>
      <c r="C210" s="80"/>
      <c r="D210" s="80"/>
      <c r="E210" s="80"/>
      <c r="F210" s="80"/>
      <c r="G210" s="80"/>
    </row>
    <row r="211">
      <c r="A211" s="106"/>
      <c r="B211" s="80"/>
      <c r="C211" s="80"/>
      <c r="D211" s="80"/>
      <c r="E211" s="80"/>
      <c r="F211" s="80"/>
      <c r="G211" s="80"/>
    </row>
    <row r="212">
      <c r="A212" s="106"/>
      <c r="B212" s="80"/>
      <c r="C212" s="80"/>
      <c r="D212" s="80"/>
      <c r="E212" s="80"/>
      <c r="F212" s="80"/>
      <c r="G212" s="80"/>
    </row>
    <row r="213">
      <c r="A213" s="106"/>
      <c r="B213" s="80"/>
      <c r="C213" s="80"/>
      <c r="D213" s="80"/>
      <c r="E213" s="80"/>
      <c r="F213" s="80"/>
      <c r="G213" s="80"/>
    </row>
    <row r="214">
      <c r="A214" s="106"/>
      <c r="B214" s="80"/>
      <c r="C214" s="80"/>
      <c r="D214" s="80"/>
      <c r="E214" s="80"/>
      <c r="F214" s="80"/>
      <c r="G214" s="80"/>
    </row>
    <row r="215">
      <c r="A215" s="106"/>
      <c r="B215" s="80"/>
      <c r="C215" s="80"/>
      <c r="D215" s="80"/>
      <c r="E215" s="80"/>
      <c r="F215" s="80"/>
      <c r="G215" s="80"/>
    </row>
    <row r="216">
      <c r="A216" s="106"/>
      <c r="B216" s="80"/>
      <c r="C216" s="80"/>
      <c r="D216" s="80"/>
      <c r="E216" s="80"/>
      <c r="F216" s="80"/>
      <c r="G216" s="80"/>
    </row>
    <row r="217">
      <c r="A217" s="106"/>
      <c r="B217" s="80"/>
      <c r="C217" s="80"/>
      <c r="D217" s="80"/>
      <c r="E217" s="80"/>
      <c r="F217" s="80"/>
      <c r="G217" s="80"/>
    </row>
    <row r="218">
      <c r="A218" s="106"/>
      <c r="B218" s="80"/>
      <c r="C218" s="80"/>
      <c r="D218" s="80"/>
      <c r="E218" s="80"/>
      <c r="F218" s="80"/>
      <c r="G218" s="80"/>
    </row>
    <row r="219">
      <c r="A219" s="106"/>
      <c r="B219" s="80"/>
      <c r="C219" s="80"/>
      <c r="D219" s="80"/>
      <c r="E219" s="80"/>
      <c r="F219" s="80"/>
      <c r="G219" s="80"/>
    </row>
    <row r="220">
      <c r="A220" s="106"/>
      <c r="B220" s="80"/>
      <c r="C220" s="80"/>
      <c r="D220" s="80"/>
      <c r="E220" s="80"/>
      <c r="F220" s="80"/>
      <c r="G220" s="80"/>
    </row>
    <row r="221">
      <c r="A221" s="106"/>
      <c r="B221" s="80"/>
      <c r="C221" s="80"/>
      <c r="D221" s="80"/>
      <c r="E221" s="80"/>
      <c r="F221" s="80"/>
      <c r="G221" s="80"/>
    </row>
    <row r="222">
      <c r="A222" s="106"/>
      <c r="B222" s="80"/>
      <c r="C222" s="80"/>
      <c r="D222" s="80"/>
      <c r="E222" s="80"/>
      <c r="F222" s="80"/>
      <c r="G222" s="80"/>
    </row>
    <row r="223">
      <c r="A223" s="106"/>
      <c r="B223" s="80"/>
      <c r="C223" s="80"/>
      <c r="D223" s="80"/>
      <c r="E223" s="80"/>
      <c r="F223" s="80"/>
      <c r="G223" s="80"/>
    </row>
    <row r="224">
      <c r="A224" s="106"/>
      <c r="B224" s="80"/>
      <c r="C224" s="80"/>
      <c r="D224" s="80"/>
      <c r="E224" s="80"/>
      <c r="F224" s="80"/>
      <c r="G224" s="80"/>
    </row>
    <row r="225">
      <c r="A225" s="106"/>
      <c r="B225" s="80"/>
      <c r="C225" s="80"/>
      <c r="D225" s="80"/>
      <c r="E225" s="80"/>
      <c r="F225" s="80"/>
      <c r="G225" s="80"/>
    </row>
    <row r="226">
      <c r="A226" s="106"/>
      <c r="B226" s="80"/>
      <c r="C226" s="80"/>
      <c r="D226" s="80"/>
      <c r="E226" s="80"/>
      <c r="F226" s="80"/>
      <c r="G226" s="80"/>
    </row>
    <row r="227">
      <c r="A227" s="106"/>
      <c r="B227" s="80"/>
      <c r="C227" s="80"/>
      <c r="D227" s="80"/>
      <c r="E227" s="80"/>
      <c r="F227" s="80"/>
      <c r="G227" s="80"/>
    </row>
    <row r="228">
      <c r="A228" s="106"/>
      <c r="B228" s="80"/>
      <c r="C228" s="80"/>
      <c r="D228" s="80"/>
      <c r="E228" s="80"/>
      <c r="F228" s="80"/>
      <c r="G228" s="80"/>
    </row>
    <row r="229">
      <c r="A229" s="106"/>
      <c r="B229" s="80"/>
      <c r="C229" s="80"/>
      <c r="D229" s="80"/>
      <c r="E229" s="80"/>
      <c r="F229" s="80"/>
      <c r="G229" s="80"/>
    </row>
    <row r="230">
      <c r="A230" s="106"/>
      <c r="B230" s="80"/>
      <c r="C230" s="80"/>
      <c r="D230" s="80"/>
      <c r="E230" s="80"/>
      <c r="F230" s="80"/>
      <c r="G230" s="80"/>
    </row>
    <row r="231">
      <c r="A231" s="106"/>
      <c r="B231" s="80"/>
      <c r="C231" s="80"/>
      <c r="D231" s="80"/>
      <c r="E231" s="80"/>
      <c r="F231" s="80"/>
      <c r="G231" s="80"/>
    </row>
    <row r="232">
      <c r="A232" s="106"/>
      <c r="B232" s="80"/>
      <c r="C232" s="80"/>
      <c r="D232" s="80"/>
      <c r="E232" s="80"/>
      <c r="F232" s="80"/>
      <c r="G232" s="80"/>
    </row>
    <row r="233">
      <c r="A233" s="106"/>
      <c r="B233" s="80"/>
      <c r="C233" s="80"/>
      <c r="D233" s="80"/>
      <c r="E233" s="80"/>
      <c r="F233" s="80"/>
      <c r="G233" s="80"/>
    </row>
    <row r="234">
      <c r="A234" s="106"/>
      <c r="B234" s="80"/>
      <c r="C234" s="80"/>
      <c r="D234" s="80"/>
      <c r="E234" s="80"/>
      <c r="F234" s="80"/>
      <c r="G234" s="80"/>
    </row>
    <row r="235">
      <c r="A235" s="106"/>
      <c r="B235" s="80"/>
      <c r="C235" s="80"/>
      <c r="D235" s="80"/>
      <c r="E235" s="80"/>
      <c r="F235" s="80"/>
      <c r="G235" s="80"/>
    </row>
    <row r="236">
      <c r="A236" s="106"/>
      <c r="B236" s="80"/>
      <c r="C236" s="80"/>
      <c r="D236" s="80"/>
      <c r="E236" s="80"/>
      <c r="F236" s="80"/>
      <c r="G236" s="80"/>
    </row>
    <row r="237">
      <c r="A237" s="106"/>
      <c r="B237" s="80"/>
      <c r="C237" s="80"/>
      <c r="D237" s="80"/>
      <c r="E237" s="80"/>
      <c r="F237" s="80"/>
      <c r="G237" s="80"/>
    </row>
    <row r="238">
      <c r="A238" s="106"/>
      <c r="B238" s="80"/>
      <c r="C238" s="80"/>
      <c r="D238" s="80"/>
      <c r="E238" s="80"/>
      <c r="F238" s="80"/>
      <c r="G238" s="80"/>
    </row>
    <row r="239">
      <c r="A239" s="106"/>
      <c r="B239" s="80"/>
      <c r="C239" s="80"/>
      <c r="D239" s="80"/>
      <c r="E239" s="80"/>
      <c r="F239" s="80"/>
      <c r="G239" s="80"/>
    </row>
    <row r="240">
      <c r="A240" s="106"/>
      <c r="B240" s="80"/>
      <c r="C240" s="80"/>
      <c r="D240" s="80"/>
      <c r="E240" s="80"/>
      <c r="F240" s="80"/>
      <c r="G240" s="80"/>
    </row>
    <row r="241">
      <c r="A241" s="106"/>
      <c r="B241" s="80"/>
      <c r="C241" s="80"/>
      <c r="D241" s="80"/>
      <c r="E241" s="80"/>
      <c r="F241" s="80"/>
      <c r="G241" s="80"/>
    </row>
    <row r="242">
      <c r="A242" s="106"/>
      <c r="B242" s="80"/>
      <c r="C242" s="80"/>
      <c r="D242" s="80"/>
      <c r="E242" s="80"/>
      <c r="F242" s="80"/>
      <c r="G242" s="80"/>
    </row>
    <row r="243">
      <c r="A243" s="106"/>
      <c r="B243" s="80"/>
      <c r="C243" s="80"/>
      <c r="D243" s="80"/>
      <c r="E243" s="80"/>
      <c r="F243" s="80"/>
      <c r="G243" s="80"/>
    </row>
    <row r="244">
      <c r="A244" s="106"/>
      <c r="B244" s="80"/>
      <c r="C244" s="80"/>
      <c r="D244" s="80"/>
      <c r="E244" s="80"/>
      <c r="F244" s="80"/>
      <c r="G244" s="80"/>
    </row>
    <row r="245">
      <c r="A245" s="106"/>
      <c r="B245" s="80"/>
      <c r="C245" s="80"/>
      <c r="D245" s="80"/>
      <c r="E245" s="80"/>
      <c r="F245" s="80"/>
      <c r="G245" s="80"/>
    </row>
    <row r="246">
      <c r="A246" s="106"/>
      <c r="B246" s="80"/>
      <c r="C246" s="80"/>
      <c r="D246" s="80"/>
      <c r="E246" s="80"/>
      <c r="F246" s="80"/>
      <c r="G246" s="80"/>
    </row>
    <row r="247">
      <c r="A247" s="106"/>
      <c r="B247" s="80"/>
      <c r="C247" s="80"/>
      <c r="D247" s="80"/>
      <c r="E247" s="80"/>
      <c r="F247" s="80"/>
      <c r="G247" s="80"/>
    </row>
    <row r="248">
      <c r="A248" s="106"/>
      <c r="B248" s="80"/>
      <c r="C248" s="80"/>
      <c r="D248" s="80"/>
      <c r="E248" s="80"/>
      <c r="F248" s="80"/>
      <c r="G248" s="80"/>
    </row>
    <row r="249">
      <c r="A249" s="106"/>
      <c r="B249" s="80"/>
      <c r="C249" s="80"/>
      <c r="D249" s="80"/>
      <c r="E249" s="80"/>
      <c r="F249" s="80"/>
      <c r="G249" s="80"/>
    </row>
    <row r="250">
      <c r="A250" s="106"/>
      <c r="B250" s="80"/>
      <c r="C250" s="80"/>
      <c r="D250" s="80"/>
      <c r="E250" s="80"/>
      <c r="F250" s="80"/>
      <c r="G250" s="80"/>
    </row>
    <row r="251">
      <c r="A251" s="106"/>
      <c r="B251" s="80"/>
      <c r="C251" s="80"/>
      <c r="D251" s="80"/>
      <c r="E251" s="80"/>
      <c r="F251" s="80"/>
      <c r="G251" s="80"/>
    </row>
    <row r="252">
      <c r="A252" s="106"/>
      <c r="B252" s="80"/>
      <c r="C252" s="80"/>
      <c r="D252" s="80"/>
      <c r="E252" s="80"/>
      <c r="F252" s="80"/>
      <c r="G252" s="80"/>
    </row>
    <row r="253">
      <c r="A253" s="106"/>
      <c r="B253" s="80"/>
      <c r="C253" s="80"/>
      <c r="D253" s="80"/>
      <c r="E253" s="80"/>
      <c r="F253" s="80"/>
      <c r="G253" s="80"/>
    </row>
    <row r="254">
      <c r="A254" s="106"/>
      <c r="B254" s="80"/>
      <c r="C254" s="80"/>
      <c r="D254" s="80"/>
      <c r="E254" s="80"/>
      <c r="F254" s="80"/>
      <c r="G254" s="80"/>
    </row>
    <row r="255">
      <c r="A255" s="106"/>
      <c r="B255" s="80"/>
      <c r="C255" s="80"/>
      <c r="D255" s="80"/>
      <c r="E255" s="80"/>
      <c r="F255" s="80"/>
      <c r="G255" s="80"/>
    </row>
    <row r="256">
      <c r="A256" s="106"/>
      <c r="B256" s="80"/>
      <c r="C256" s="80"/>
      <c r="D256" s="80"/>
      <c r="E256" s="80"/>
      <c r="F256" s="80"/>
      <c r="G256" s="80"/>
    </row>
    <row r="257">
      <c r="A257" s="106"/>
      <c r="B257" s="80"/>
      <c r="C257" s="80"/>
      <c r="D257" s="80"/>
      <c r="E257" s="80"/>
      <c r="F257" s="80"/>
      <c r="G257" s="80"/>
    </row>
    <row r="258">
      <c r="A258" s="106"/>
      <c r="B258" s="80"/>
      <c r="C258" s="80"/>
      <c r="D258" s="80"/>
      <c r="E258" s="80"/>
      <c r="F258" s="80"/>
      <c r="G258" s="80"/>
    </row>
    <row r="259">
      <c r="A259" s="106"/>
      <c r="B259" s="80"/>
      <c r="C259" s="80"/>
      <c r="D259" s="80"/>
      <c r="E259" s="80"/>
      <c r="F259" s="80"/>
      <c r="G259" s="80"/>
    </row>
    <row r="260">
      <c r="A260" s="106"/>
      <c r="B260" s="80"/>
      <c r="C260" s="80"/>
      <c r="D260" s="80"/>
      <c r="E260" s="80"/>
      <c r="F260" s="80"/>
      <c r="G260" s="80"/>
    </row>
    <row r="261">
      <c r="A261" s="106"/>
      <c r="B261" s="80"/>
      <c r="C261" s="80"/>
      <c r="D261" s="80"/>
      <c r="E261" s="80"/>
      <c r="F261" s="80"/>
      <c r="G261" s="80"/>
    </row>
    <row r="262">
      <c r="A262" s="106"/>
      <c r="B262" s="80"/>
      <c r="C262" s="80"/>
      <c r="D262" s="80"/>
      <c r="E262" s="80"/>
      <c r="F262" s="80"/>
      <c r="G262" s="80"/>
    </row>
    <row r="263">
      <c r="A263" s="106"/>
      <c r="B263" s="80"/>
      <c r="C263" s="80"/>
      <c r="D263" s="80"/>
      <c r="E263" s="80"/>
      <c r="F263" s="80"/>
      <c r="G263" s="80"/>
    </row>
    <row r="264">
      <c r="A264" s="106"/>
      <c r="B264" s="80"/>
      <c r="C264" s="80"/>
      <c r="D264" s="80"/>
      <c r="E264" s="80"/>
      <c r="F264" s="80"/>
      <c r="G264" s="80"/>
    </row>
    <row r="265">
      <c r="A265" s="106"/>
      <c r="B265" s="80"/>
      <c r="C265" s="80"/>
      <c r="D265" s="80"/>
      <c r="E265" s="80"/>
      <c r="F265" s="80"/>
      <c r="G265" s="80"/>
    </row>
    <row r="266">
      <c r="A266" s="106"/>
      <c r="B266" s="80"/>
      <c r="C266" s="80"/>
      <c r="D266" s="80"/>
      <c r="E266" s="80"/>
      <c r="F266" s="80"/>
      <c r="G266" s="80"/>
    </row>
    <row r="267">
      <c r="A267" s="106"/>
      <c r="B267" s="80"/>
      <c r="C267" s="80"/>
      <c r="D267" s="80"/>
      <c r="E267" s="80"/>
      <c r="F267" s="80"/>
      <c r="G267" s="80"/>
    </row>
    <row r="268">
      <c r="A268" s="106"/>
      <c r="B268" s="80"/>
      <c r="C268" s="80"/>
      <c r="D268" s="80"/>
      <c r="E268" s="80"/>
      <c r="F268" s="80"/>
      <c r="G268" s="80"/>
    </row>
    <row r="269">
      <c r="A269" s="106"/>
      <c r="B269" s="80"/>
      <c r="C269" s="80"/>
      <c r="D269" s="80"/>
      <c r="E269" s="80"/>
      <c r="F269" s="80"/>
      <c r="G269" s="80"/>
    </row>
    <row r="270">
      <c r="A270" s="106"/>
      <c r="B270" s="80"/>
      <c r="C270" s="80"/>
      <c r="D270" s="80"/>
      <c r="E270" s="80"/>
      <c r="F270" s="80"/>
      <c r="G270" s="80"/>
    </row>
    <row r="271">
      <c r="A271" s="106"/>
      <c r="B271" s="80"/>
      <c r="C271" s="80"/>
      <c r="D271" s="80"/>
      <c r="E271" s="80"/>
      <c r="F271" s="80"/>
      <c r="G271" s="80"/>
    </row>
    <row r="272">
      <c r="A272" s="106"/>
      <c r="B272" s="80"/>
      <c r="C272" s="80"/>
      <c r="D272" s="80"/>
      <c r="E272" s="80"/>
      <c r="F272" s="80"/>
      <c r="G272" s="80"/>
    </row>
    <row r="273">
      <c r="A273" s="106"/>
      <c r="B273" s="80"/>
      <c r="C273" s="80"/>
      <c r="D273" s="80"/>
      <c r="E273" s="80"/>
      <c r="F273" s="80"/>
      <c r="G273" s="80"/>
    </row>
    <row r="274">
      <c r="A274" s="106"/>
      <c r="B274" s="80"/>
      <c r="C274" s="80"/>
      <c r="D274" s="80"/>
      <c r="E274" s="80"/>
      <c r="F274" s="80"/>
      <c r="G274" s="80"/>
    </row>
    <row r="275">
      <c r="A275" s="106"/>
      <c r="B275" s="80"/>
      <c r="C275" s="80"/>
      <c r="D275" s="80"/>
      <c r="E275" s="80"/>
      <c r="F275" s="80"/>
      <c r="G275" s="80"/>
    </row>
    <row r="276">
      <c r="A276" s="106"/>
      <c r="B276" s="80"/>
      <c r="C276" s="80"/>
      <c r="D276" s="80"/>
      <c r="E276" s="80"/>
      <c r="F276" s="80"/>
      <c r="G276" s="80"/>
    </row>
    <row r="277">
      <c r="A277" s="106"/>
      <c r="B277" s="80"/>
      <c r="C277" s="80"/>
      <c r="D277" s="80"/>
      <c r="E277" s="80"/>
      <c r="F277" s="80"/>
      <c r="G277" s="80"/>
    </row>
    <row r="278">
      <c r="A278" s="106"/>
      <c r="B278" s="80"/>
      <c r="C278" s="80"/>
      <c r="D278" s="80"/>
      <c r="E278" s="80"/>
      <c r="F278" s="80"/>
      <c r="G278" s="80"/>
    </row>
    <row r="279">
      <c r="A279" s="106"/>
      <c r="B279" s="80"/>
      <c r="C279" s="80"/>
      <c r="D279" s="80"/>
      <c r="E279" s="80"/>
      <c r="F279" s="80"/>
      <c r="G279" s="80"/>
    </row>
    <row r="280">
      <c r="A280" s="106"/>
      <c r="B280" s="80"/>
      <c r="C280" s="80"/>
      <c r="D280" s="80"/>
      <c r="E280" s="80"/>
      <c r="F280" s="80"/>
      <c r="G280" s="80"/>
    </row>
    <row r="281">
      <c r="A281" s="106"/>
      <c r="B281" s="80"/>
      <c r="C281" s="80"/>
      <c r="D281" s="80"/>
      <c r="E281" s="80"/>
      <c r="F281" s="80"/>
      <c r="G281" s="80"/>
    </row>
    <row r="282">
      <c r="A282" s="106"/>
      <c r="B282" s="80"/>
      <c r="C282" s="80"/>
      <c r="D282" s="80"/>
      <c r="E282" s="80"/>
      <c r="F282" s="80"/>
      <c r="G282" s="80"/>
    </row>
    <row r="283">
      <c r="A283" s="106"/>
      <c r="B283" s="80"/>
      <c r="C283" s="80"/>
      <c r="D283" s="80"/>
      <c r="E283" s="80"/>
      <c r="F283" s="80"/>
      <c r="G283" s="80"/>
    </row>
    <row r="284">
      <c r="A284" s="106"/>
      <c r="B284" s="80"/>
      <c r="C284" s="80"/>
      <c r="D284" s="80"/>
      <c r="E284" s="80"/>
      <c r="F284" s="80"/>
      <c r="G284" s="80"/>
    </row>
    <row r="285">
      <c r="A285" s="106"/>
      <c r="B285" s="80"/>
      <c r="C285" s="80"/>
      <c r="D285" s="80"/>
      <c r="E285" s="80"/>
      <c r="F285" s="80"/>
      <c r="G285" s="80"/>
    </row>
    <row r="286">
      <c r="A286" s="106"/>
      <c r="B286" s="80"/>
      <c r="C286" s="80"/>
      <c r="D286" s="80"/>
      <c r="E286" s="80"/>
      <c r="F286" s="80"/>
      <c r="G286" s="80"/>
    </row>
    <row r="287">
      <c r="A287" s="106"/>
      <c r="B287" s="80"/>
      <c r="C287" s="80"/>
      <c r="D287" s="80"/>
      <c r="E287" s="80"/>
      <c r="F287" s="80"/>
      <c r="G287" s="80"/>
    </row>
    <row r="288">
      <c r="A288" s="106"/>
      <c r="B288" s="80"/>
      <c r="C288" s="80"/>
      <c r="D288" s="80"/>
      <c r="E288" s="80"/>
      <c r="F288" s="80"/>
      <c r="G288" s="80"/>
    </row>
    <row r="289">
      <c r="A289" s="106"/>
      <c r="B289" s="80"/>
      <c r="C289" s="80"/>
      <c r="D289" s="80"/>
      <c r="E289" s="80"/>
      <c r="F289" s="80"/>
      <c r="G289" s="80"/>
    </row>
    <row r="290">
      <c r="A290" s="106"/>
      <c r="B290" s="80"/>
      <c r="C290" s="80"/>
      <c r="D290" s="80"/>
      <c r="E290" s="80"/>
      <c r="F290" s="80"/>
      <c r="G290" s="80"/>
    </row>
    <row r="291">
      <c r="A291" s="106"/>
      <c r="B291" s="80"/>
      <c r="C291" s="80"/>
      <c r="D291" s="80"/>
      <c r="E291" s="80"/>
      <c r="F291" s="80"/>
      <c r="G291" s="80"/>
    </row>
    <row r="292">
      <c r="A292" s="106"/>
      <c r="B292" s="80"/>
      <c r="C292" s="80"/>
      <c r="D292" s="80"/>
      <c r="E292" s="80"/>
      <c r="F292" s="80"/>
      <c r="G292" s="80"/>
    </row>
    <row r="293">
      <c r="A293" s="106"/>
      <c r="B293" s="80"/>
      <c r="C293" s="80"/>
      <c r="D293" s="80"/>
      <c r="E293" s="80"/>
      <c r="F293" s="80"/>
      <c r="G293" s="80"/>
    </row>
    <row r="294">
      <c r="A294" s="106"/>
      <c r="B294" s="80"/>
      <c r="C294" s="80"/>
      <c r="D294" s="80"/>
      <c r="E294" s="80"/>
      <c r="F294" s="80"/>
      <c r="G294" s="80"/>
    </row>
    <row r="295">
      <c r="A295" s="106"/>
      <c r="B295" s="80"/>
      <c r="C295" s="80"/>
      <c r="D295" s="80"/>
      <c r="E295" s="80"/>
      <c r="F295" s="80"/>
      <c r="G295" s="80"/>
    </row>
    <row r="296">
      <c r="A296" s="106"/>
      <c r="B296" s="80"/>
      <c r="C296" s="80"/>
      <c r="D296" s="80"/>
      <c r="E296" s="80"/>
      <c r="F296" s="80"/>
      <c r="G296" s="80"/>
    </row>
    <row r="297">
      <c r="A297" s="106"/>
      <c r="B297" s="80"/>
      <c r="C297" s="80"/>
      <c r="D297" s="80"/>
      <c r="E297" s="80"/>
      <c r="F297" s="80"/>
      <c r="G297" s="80"/>
    </row>
    <row r="298">
      <c r="A298" s="106"/>
      <c r="B298" s="80"/>
      <c r="C298" s="80"/>
      <c r="D298" s="80"/>
      <c r="E298" s="80"/>
      <c r="F298" s="80"/>
      <c r="G298" s="80"/>
    </row>
    <row r="299">
      <c r="A299" s="106"/>
      <c r="B299" s="80"/>
      <c r="C299" s="80"/>
      <c r="D299" s="80"/>
      <c r="E299" s="80"/>
      <c r="F299" s="80"/>
      <c r="G299" s="80"/>
    </row>
    <row r="300">
      <c r="A300" s="106"/>
      <c r="B300" s="80"/>
      <c r="C300" s="80"/>
      <c r="D300" s="80"/>
      <c r="E300" s="80"/>
      <c r="F300" s="80"/>
      <c r="G300" s="80"/>
    </row>
    <row r="301">
      <c r="A301" s="106"/>
      <c r="B301" s="80"/>
      <c r="C301" s="80"/>
      <c r="D301" s="80"/>
      <c r="E301" s="80"/>
      <c r="F301" s="80"/>
      <c r="G301" s="80"/>
    </row>
    <row r="302">
      <c r="A302" s="106"/>
      <c r="B302" s="80"/>
      <c r="C302" s="80"/>
      <c r="D302" s="80"/>
      <c r="E302" s="80"/>
      <c r="F302" s="80"/>
      <c r="G302" s="80"/>
    </row>
    <row r="303">
      <c r="A303" s="106"/>
      <c r="B303" s="80"/>
      <c r="C303" s="80"/>
      <c r="D303" s="80"/>
      <c r="E303" s="80"/>
      <c r="F303" s="80"/>
      <c r="G303" s="80"/>
    </row>
    <row r="304">
      <c r="A304" s="106"/>
      <c r="B304" s="80"/>
      <c r="C304" s="80"/>
      <c r="D304" s="80"/>
      <c r="E304" s="80"/>
      <c r="F304" s="80"/>
      <c r="G304" s="80"/>
    </row>
    <row r="305">
      <c r="A305" s="106"/>
      <c r="B305" s="80"/>
      <c r="C305" s="80"/>
      <c r="D305" s="80"/>
      <c r="E305" s="80"/>
      <c r="F305" s="80"/>
      <c r="G305" s="80"/>
    </row>
    <row r="306">
      <c r="A306" s="106"/>
      <c r="B306" s="80"/>
      <c r="C306" s="80"/>
      <c r="D306" s="80"/>
      <c r="E306" s="80"/>
      <c r="F306" s="80"/>
      <c r="G306" s="80"/>
    </row>
    <row r="307">
      <c r="A307" s="106"/>
      <c r="B307" s="80"/>
      <c r="C307" s="80"/>
      <c r="D307" s="80"/>
      <c r="E307" s="80"/>
      <c r="F307" s="80"/>
      <c r="G307" s="80"/>
    </row>
    <row r="308">
      <c r="A308" s="106"/>
      <c r="B308" s="80"/>
      <c r="C308" s="80"/>
      <c r="D308" s="80"/>
      <c r="E308" s="80"/>
      <c r="F308" s="80"/>
      <c r="G308" s="80"/>
    </row>
    <row r="309">
      <c r="A309" s="106"/>
      <c r="B309" s="80"/>
      <c r="C309" s="80"/>
      <c r="D309" s="80"/>
      <c r="E309" s="80"/>
      <c r="F309" s="80"/>
      <c r="G309" s="80"/>
    </row>
    <row r="310">
      <c r="A310" s="106"/>
      <c r="B310" s="80"/>
      <c r="C310" s="80"/>
      <c r="D310" s="80"/>
      <c r="E310" s="80"/>
      <c r="F310" s="80"/>
      <c r="G310" s="80"/>
    </row>
    <row r="311">
      <c r="A311" s="106"/>
      <c r="B311" s="80"/>
      <c r="C311" s="80"/>
      <c r="D311" s="80"/>
      <c r="E311" s="80"/>
      <c r="F311" s="80"/>
      <c r="G311" s="80"/>
    </row>
    <row r="312">
      <c r="A312" s="106"/>
      <c r="B312" s="80"/>
      <c r="C312" s="80"/>
      <c r="D312" s="80"/>
      <c r="E312" s="80"/>
      <c r="F312" s="80"/>
      <c r="G312" s="80"/>
    </row>
    <row r="313">
      <c r="A313" s="106"/>
      <c r="B313" s="80"/>
      <c r="C313" s="80"/>
      <c r="D313" s="80"/>
      <c r="E313" s="80"/>
      <c r="F313" s="80"/>
      <c r="G313" s="80"/>
    </row>
    <row r="314">
      <c r="A314" s="106"/>
      <c r="B314" s="80"/>
      <c r="C314" s="80"/>
      <c r="D314" s="80"/>
      <c r="E314" s="80"/>
      <c r="F314" s="80"/>
      <c r="G314" s="80"/>
    </row>
    <row r="315">
      <c r="A315" s="106"/>
      <c r="B315" s="80"/>
      <c r="C315" s="80"/>
      <c r="D315" s="80"/>
      <c r="E315" s="80"/>
      <c r="F315" s="80"/>
      <c r="G315" s="80"/>
    </row>
    <row r="316">
      <c r="A316" s="106"/>
      <c r="B316" s="80"/>
      <c r="C316" s="80"/>
      <c r="D316" s="80"/>
      <c r="E316" s="80"/>
      <c r="F316" s="80"/>
      <c r="G316" s="80"/>
    </row>
    <row r="317">
      <c r="A317" s="106"/>
      <c r="B317" s="80"/>
      <c r="C317" s="80"/>
      <c r="D317" s="80"/>
      <c r="E317" s="80"/>
      <c r="F317" s="80"/>
      <c r="G317" s="80"/>
    </row>
    <row r="318">
      <c r="A318" s="106"/>
      <c r="B318" s="80"/>
      <c r="C318" s="80"/>
      <c r="D318" s="80"/>
      <c r="E318" s="80"/>
      <c r="F318" s="80"/>
      <c r="G318" s="80"/>
    </row>
    <row r="319">
      <c r="A319" s="106"/>
      <c r="B319" s="80"/>
      <c r="C319" s="80"/>
      <c r="D319" s="80"/>
      <c r="E319" s="80"/>
      <c r="F319" s="80"/>
      <c r="G319" s="80"/>
    </row>
    <row r="320">
      <c r="A320" s="106"/>
      <c r="B320" s="80"/>
      <c r="C320" s="80"/>
      <c r="D320" s="80"/>
      <c r="E320" s="80"/>
      <c r="F320" s="80"/>
      <c r="G320" s="80"/>
    </row>
    <row r="321">
      <c r="A321" s="106"/>
      <c r="B321" s="80"/>
      <c r="C321" s="80"/>
      <c r="D321" s="80"/>
      <c r="E321" s="80"/>
      <c r="F321" s="80"/>
      <c r="G321" s="80"/>
    </row>
    <row r="322">
      <c r="A322" s="106"/>
      <c r="B322" s="80"/>
      <c r="C322" s="80"/>
      <c r="D322" s="80"/>
      <c r="E322" s="80"/>
      <c r="F322" s="80"/>
      <c r="G322" s="80"/>
    </row>
    <row r="323">
      <c r="A323" s="106"/>
      <c r="B323" s="80"/>
      <c r="C323" s="80"/>
      <c r="D323" s="80"/>
      <c r="E323" s="80"/>
      <c r="F323" s="80"/>
      <c r="G323" s="80"/>
    </row>
    <row r="324">
      <c r="A324" s="106"/>
      <c r="B324" s="80"/>
      <c r="C324" s="80"/>
      <c r="D324" s="80"/>
      <c r="E324" s="80"/>
      <c r="F324" s="80"/>
      <c r="G324" s="80"/>
    </row>
    <row r="325">
      <c r="A325" s="106"/>
      <c r="B325" s="80"/>
      <c r="C325" s="80"/>
      <c r="D325" s="80"/>
      <c r="E325" s="80"/>
      <c r="F325" s="80"/>
      <c r="G325" s="80"/>
    </row>
    <row r="326">
      <c r="A326" s="106"/>
      <c r="B326" s="80"/>
      <c r="C326" s="80"/>
      <c r="D326" s="80"/>
      <c r="E326" s="80"/>
      <c r="F326" s="80"/>
      <c r="G326" s="80"/>
    </row>
    <row r="327">
      <c r="A327" s="106"/>
      <c r="B327" s="80"/>
      <c r="C327" s="80"/>
      <c r="D327" s="80"/>
      <c r="E327" s="80"/>
      <c r="F327" s="80"/>
      <c r="G327" s="80"/>
    </row>
    <row r="328">
      <c r="A328" s="106"/>
      <c r="B328" s="80"/>
      <c r="C328" s="80"/>
      <c r="D328" s="80"/>
      <c r="E328" s="80"/>
      <c r="F328" s="80"/>
      <c r="G328" s="80"/>
    </row>
    <row r="329">
      <c r="A329" s="106"/>
      <c r="B329" s="80"/>
      <c r="C329" s="80"/>
      <c r="D329" s="80"/>
      <c r="E329" s="80"/>
      <c r="F329" s="80"/>
      <c r="G329" s="80"/>
    </row>
    <row r="330">
      <c r="A330" s="106"/>
      <c r="B330" s="80"/>
      <c r="C330" s="80"/>
      <c r="D330" s="80"/>
      <c r="E330" s="80"/>
      <c r="F330" s="80"/>
      <c r="G330" s="80"/>
    </row>
    <row r="331">
      <c r="A331" s="106"/>
      <c r="B331" s="80"/>
      <c r="C331" s="80"/>
      <c r="D331" s="80"/>
      <c r="E331" s="80"/>
      <c r="F331" s="80"/>
      <c r="G331" s="80"/>
    </row>
    <row r="332">
      <c r="A332" s="106"/>
      <c r="B332" s="80"/>
      <c r="C332" s="80"/>
      <c r="D332" s="80"/>
      <c r="E332" s="80"/>
      <c r="F332" s="80"/>
      <c r="G332" s="80"/>
    </row>
    <row r="333">
      <c r="A333" s="106"/>
      <c r="B333" s="80"/>
      <c r="C333" s="80"/>
      <c r="D333" s="80"/>
      <c r="E333" s="80"/>
      <c r="F333" s="80"/>
      <c r="G333" s="80"/>
    </row>
    <row r="334">
      <c r="A334" s="106"/>
      <c r="B334" s="80"/>
      <c r="C334" s="80"/>
      <c r="D334" s="80"/>
      <c r="E334" s="80"/>
      <c r="F334" s="80"/>
      <c r="G334" s="80"/>
    </row>
    <row r="335">
      <c r="A335" s="106"/>
      <c r="B335" s="80"/>
      <c r="C335" s="80"/>
      <c r="D335" s="80"/>
      <c r="E335" s="80"/>
      <c r="F335" s="80"/>
      <c r="G335" s="80"/>
    </row>
    <row r="336">
      <c r="A336" s="106"/>
      <c r="B336" s="80"/>
      <c r="C336" s="80"/>
      <c r="D336" s="80"/>
      <c r="E336" s="80"/>
      <c r="F336" s="80"/>
      <c r="G336" s="80"/>
    </row>
    <row r="337">
      <c r="A337" s="106"/>
      <c r="B337" s="80"/>
      <c r="C337" s="80"/>
      <c r="D337" s="80"/>
      <c r="E337" s="80"/>
      <c r="F337" s="80"/>
      <c r="G337" s="80"/>
    </row>
    <row r="338">
      <c r="A338" s="106"/>
      <c r="B338" s="80"/>
      <c r="C338" s="80"/>
      <c r="D338" s="80"/>
      <c r="E338" s="80"/>
      <c r="F338" s="80"/>
      <c r="G338" s="80"/>
    </row>
    <row r="339">
      <c r="A339" s="106"/>
      <c r="B339" s="80"/>
      <c r="C339" s="80"/>
      <c r="D339" s="80"/>
      <c r="E339" s="80"/>
      <c r="F339" s="80"/>
      <c r="G339" s="80"/>
    </row>
    <row r="340">
      <c r="A340" s="106"/>
      <c r="B340" s="80"/>
      <c r="C340" s="80"/>
      <c r="D340" s="80"/>
      <c r="E340" s="80"/>
      <c r="F340" s="80"/>
      <c r="G340" s="80"/>
    </row>
    <row r="341">
      <c r="A341" s="106"/>
      <c r="B341" s="80"/>
      <c r="C341" s="80"/>
      <c r="D341" s="80"/>
      <c r="E341" s="80"/>
      <c r="F341" s="80"/>
      <c r="G341" s="80"/>
    </row>
    <row r="342">
      <c r="A342" s="106"/>
      <c r="B342" s="80"/>
      <c r="C342" s="80"/>
      <c r="D342" s="80"/>
      <c r="E342" s="80"/>
      <c r="F342" s="80"/>
      <c r="G342" s="80"/>
    </row>
    <row r="343">
      <c r="A343" s="106"/>
      <c r="B343" s="80"/>
      <c r="C343" s="80"/>
      <c r="D343" s="80"/>
      <c r="E343" s="80"/>
      <c r="F343" s="80"/>
      <c r="G343" s="80"/>
    </row>
    <row r="344">
      <c r="A344" s="106"/>
      <c r="B344" s="80"/>
      <c r="C344" s="80"/>
      <c r="D344" s="80"/>
      <c r="E344" s="80"/>
      <c r="F344" s="80"/>
      <c r="G344" s="80"/>
    </row>
    <row r="345">
      <c r="A345" s="106"/>
      <c r="B345" s="80"/>
      <c r="C345" s="80"/>
      <c r="D345" s="80"/>
      <c r="E345" s="80"/>
      <c r="F345" s="80"/>
      <c r="G345" s="80"/>
    </row>
    <row r="346">
      <c r="A346" s="106"/>
      <c r="B346" s="80"/>
      <c r="C346" s="80"/>
      <c r="D346" s="80"/>
      <c r="E346" s="80"/>
      <c r="F346" s="80"/>
      <c r="G346" s="80"/>
    </row>
    <row r="347">
      <c r="A347" s="106"/>
      <c r="B347" s="80"/>
      <c r="C347" s="80"/>
      <c r="D347" s="80"/>
      <c r="E347" s="80"/>
      <c r="F347" s="80"/>
      <c r="G347" s="80"/>
    </row>
    <row r="348">
      <c r="A348" s="106"/>
      <c r="B348" s="80"/>
      <c r="C348" s="80"/>
      <c r="D348" s="80"/>
      <c r="E348" s="80"/>
      <c r="F348" s="80"/>
      <c r="G348" s="80"/>
    </row>
    <row r="349">
      <c r="A349" s="106"/>
      <c r="B349" s="80"/>
      <c r="C349" s="80"/>
      <c r="D349" s="80"/>
      <c r="E349" s="80"/>
      <c r="F349" s="80"/>
      <c r="G349" s="80"/>
    </row>
    <row r="350">
      <c r="A350" s="106"/>
      <c r="B350" s="80"/>
      <c r="C350" s="80"/>
      <c r="D350" s="80"/>
      <c r="E350" s="80"/>
      <c r="F350" s="80"/>
      <c r="G350" s="80"/>
    </row>
    <row r="351">
      <c r="A351" s="106"/>
      <c r="B351" s="80"/>
      <c r="C351" s="80"/>
      <c r="D351" s="80"/>
      <c r="E351" s="80"/>
      <c r="F351" s="80"/>
      <c r="G351" s="80"/>
    </row>
    <row r="352">
      <c r="A352" s="106"/>
      <c r="B352" s="80"/>
      <c r="C352" s="80"/>
      <c r="D352" s="80"/>
      <c r="E352" s="80"/>
      <c r="F352" s="80"/>
      <c r="G352" s="80"/>
    </row>
    <row r="353">
      <c r="A353" s="106"/>
      <c r="B353" s="80"/>
      <c r="C353" s="80"/>
      <c r="D353" s="80"/>
      <c r="E353" s="80"/>
      <c r="F353" s="80"/>
      <c r="G353" s="80"/>
    </row>
    <row r="354">
      <c r="A354" s="106"/>
      <c r="B354" s="80"/>
      <c r="C354" s="80"/>
      <c r="D354" s="80"/>
      <c r="E354" s="80"/>
      <c r="F354" s="80"/>
      <c r="G354" s="80"/>
    </row>
    <row r="355">
      <c r="A355" s="106"/>
      <c r="B355" s="80"/>
      <c r="C355" s="80"/>
      <c r="D355" s="80"/>
      <c r="E355" s="80"/>
      <c r="F355" s="80"/>
      <c r="G355" s="80"/>
    </row>
    <row r="356">
      <c r="A356" s="106"/>
      <c r="B356" s="80"/>
      <c r="C356" s="80"/>
      <c r="D356" s="80"/>
      <c r="E356" s="80"/>
      <c r="F356" s="80"/>
      <c r="G356" s="80"/>
    </row>
    <row r="357">
      <c r="A357" s="106"/>
      <c r="B357" s="80"/>
      <c r="C357" s="80"/>
      <c r="D357" s="80"/>
      <c r="E357" s="80"/>
      <c r="F357" s="80"/>
      <c r="G357" s="80"/>
    </row>
    <row r="358">
      <c r="A358" s="106"/>
      <c r="B358" s="80"/>
      <c r="C358" s="80"/>
      <c r="D358" s="80"/>
      <c r="E358" s="80"/>
      <c r="F358" s="80"/>
      <c r="G358" s="80"/>
    </row>
    <row r="359">
      <c r="A359" s="106"/>
      <c r="B359" s="80"/>
      <c r="C359" s="80"/>
      <c r="D359" s="80"/>
      <c r="E359" s="80"/>
      <c r="F359" s="80"/>
      <c r="G359" s="80"/>
    </row>
    <row r="360">
      <c r="A360" s="106"/>
      <c r="B360" s="80"/>
      <c r="C360" s="80"/>
      <c r="D360" s="80"/>
      <c r="E360" s="80"/>
      <c r="F360" s="80"/>
      <c r="G360" s="80"/>
    </row>
    <row r="361">
      <c r="A361" s="106"/>
      <c r="B361" s="80"/>
      <c r="C361" s="80"/>
      <c r="D361" s="80"/>
      <c r="E361" s="80"/>
      <c r="F361" s="80"/>
      <c r="G361" s="80"/>
    </row>
    <row r="362">
      <c r="A362" s="106"/>
      <c r="B362" s="80"/>
      <c r="C362" s="80"/>
      <c r="D362" s="80"/>
      <c r="E362" s="80"/>
      <c r="F362" s="80"/>
      <c r="G362" s="80"/>
    </row>
    <row r="363">
      <c r="A363" s="106"/>
      <c r="B363" s="80"/>
      <c r="C363" s="80"/>
      <c r="D363" s="80"/>
      <c r="E363" s="80"/>
      <c r="F363" s="80"/>
      <c r="G363" s="80"/>
    </row>
    <row r="364">
      <c r="A364" s="106"/>
      <c r="B364" s="80"/>
      <c r="C364" s="80"/>
      <c r="D364" s="80"/>
      <c r="E364" s="80"/>
      <c r="F364" s="80"/>
      <c r="G364" s="80"/>
    </row>
    <row r="365">
      <c r="A365" s="106"/>
      <c r="B365" s="80"/>
      <c r="C365" s="80"/>
      <c r="D365" s="80"/>
      <c r="E365" s="80"/>
      <c r="F365" s="80"/>
      <c r="G365" s="80"/>
    </row>
    <row r="366">
      <c r="A366" s="106"/>
      <c r="B366" s="80"/>
      <c r="C366" s="80"/>
      <c r="D366" s="80"/>
      <c r="E366" s="80"/>
      <c r="F366" s="80"/>
      <c r="G366" s="80"/>
    </row>
    <row r="367">
      <c r="A367" s="106"/>
      <c r="B367" s="80"/>
      <c r="C367" s="80"/>
      <c r="D367" s="80"/>
      <c r="E367" s="80"/>
      <c r="F367" s="80"/>
      <c r="G367" s="80"/>
    </row>
    <row r="368">
      <c r="A368" s="106"/>
      <c r="B368" s="80"/>
      <c r="C368" s="80"/>
      <c r="D368" s="80"/>
      <c r="E368" s="80"/>
      <c r="F368" s="80"/>
      <c r="G368" s="80"/>
    </row>
    <row r="369">
      <c r="A369" s="106"/>
      <c r="B369" s="80"/>
      <c r="C369" s="80"/>
      <c r="D369" s="80"/>
      <c r="E369" s="80"/>
      <c r="F369" s="80"/>
      <c r="G369" s="80"/>
    </row>
    <row r="370">
      <c r="A370" s="106"/>
      <c r="B370" s="80"/>
      <c r="C370" s="80"/>
      <c r="D370" s="80"/>
      <c r="E370" s="80"/>
      <c r="F370" s="80"/>
      <c r="G370" s="80"/>
    </row>
    <row r="371">
      <c r="A371" s="106"/>
      <c r="B371" s="80"/>
      <c r="C371" s="80"/>
      <c r="D371" s="80"/>
      <c r="E371" s="80"/>
      <c r="F371" s="80"/>
      <c r="G371" s="80"/>
    </row>
    <row r="372">
      <c r="A372" s="106"/>
      <c r="B372" s="80"/>
      <c r="C372" s="80"/>
      <c r="D372" s="80"/>
      <c r="E372" s="80"/>
      <c r="F372" s="80"/>
      <c r="G372" s="80"/>
    </row>
    <row r="373">
      <c r="A373" s="106"/>
      <c r="B373" s="80"/>
      <c r="C373" s="80"/>
      <c r="D373" s="80"/>
      <c r="E373" s="80"/>
      <c r="F373" s="80"/>
      <c r="G373" s="80"/>
    </row>
    <row r="374">
      <c r="A374" s="106"/>
      <c r="B374" s="80"/>
      <c r="C374" s="80"/>
      <c r="D374" s="80"/>
      <c r="E374" s="80"/>
      <c r="F374" s="80"/>
      <c r="G374" s="80"/>
    </row>
    <row r="375">
      <c r="A375" s="106"/>
      <c r="B375" s="80"/>
      <c r="C375" s="80"/>
      <c r="D375" s="80"/>
      <c r="E375" s="80"/>
      <c r="F375" s="80"/>
      <c r="G375" s="80"/>
    </row>
    <row r="376">
      <c r="A376" s="106"/>
      <c r="B376" s="80"/>
      <c r="C376" s="80"/>
      <c r="D376" s="80"/>
      <c r="E376" s="80"/>
      <c r="F376" s="80"/>
      <c r="G376" s="80"/>
    </row>
    <row r="377">
      <c r="A377" s="106"/>
      <c r="B377" s="80"/>
      <c r="C377" s="80"/>
      <c r="D377" s="80"/>
      <c r="E377" s="80"/>
      <c r="F377" s="80"/>
      <c r="G377" s="80"/>
    </row>
    <row r="378">
      <c r="A378" s="106"/>
      <c r="B378" s="80"/>
      <c r="C378" s="80"/>
      <c r="D378" s="80"/>
      <c r="E378" s="80"/>
      <c r="F378" s="80"/>
      <c r="G378" s="80"/>
    </row>
    <row r="379">
      <c r="A379" s="106"/>
      <c r="B379" s="80"/>
      <c r="C379" s="80"/>
      <c r="D379" s="80"/>
      <c r="E379" s="80"/>
      <c r="F379" s="80"/>
      <c r="G379" s="80"/>
    </row>
    <row r="380">
      <c r="A380" s="106"/>
      <c r="B380" s="80"/>
      <c r="C380" s="80"/>
      <c r="D380" s="80"/>
      <c r="E380" s="80"/>
      <c r="F380" s="80"/>
      <c r="G380" s="80"/>
    </row>
    <row r="381">
      <c r="A381" s="106"/>
      <c r="B381" s="80"/>
      <c r="C381" s="80"/>
      <c r="D381" s="80"/>
      <c r="E381" s="80"/>
      <c r="F381" s="80"/>
      <c r="G381" s="80"/>
    </row>
    <row r="382">
      <c r="A382" s="106"/>
      <c r="B382" s="80"/>
      <c r="C382" s="80"/>
      <c r="D382" s="80"/>
      <c r="E382" s="80"/>
      <c r="F382" s="80"/>
      <c r="G382" s="80"/>
    </row>
    <row r="383">
      <c r="A383" s="106"/>
      <c r="B383" s="80"/>
      <c r="C383" s="80"/>
      <c r="D383" s="80"/>
      <c r="E383" s="80"/>
      <c r="F383" s="80"/>
      <c r="G383" s="80"/>
    </row>
    <row r="384">
      <c r="A384" s="106"/>
      <c r="B384" s="80"/>
      <c r="C384" s="80"/>
      <c r="D384" s="80"/>
      <c r="E384" s="80"/>
      <c r="F384" s="80"/>
      <c r="G384" s="80"/>
    </row>
    <row r="385">
      <c r="A385" s="106"/>
      <c r="B385" s="80"/>
      <c r="C385" s="80"/>
      <c r="D385" s="80"/>
      <c r="E385" s="80"/>
      <c r="F385" s="80"/>
      <c r="G385" s="80"/>
    </row>
    <row r="386">
      <c r="A386" s="106"/>
      <c r="B386" s="80"/>
      <c r="C386" s="80"/>
      <c r="D386" s="80"/>
      <c r="E386" s="80"/>
      <c r="F386" s="80"/>
      <c r="G386" s="80"/>
    </row>
    <row r="387">
      <c r="A387" s="106"/>
      <c r="B387" s="80"/>
      <c r="C387" s="80"/>
      <c r="D387" s="80"/>
      <c r="E387" s="80"/>
      <c r="F387" s="80"/>
      <c r="G387" s="80"/>
    </row>
    <row r="388">
      <c r="A388" s="106"/>
      <c r="B388" s="80"/>
      <c r="C388" s="80"/>
      <c r="D388" s="80"/>
      <c r="E388" s="80"/>
      <c r="F388" s="80"/>
      <c r="G388" s="80"/>
    </row>
    <row r="389">
      <c r="A389" s="106"/>
      <c r="B389" s="80"/>
      <c r="C389" s="80"/>
      <c r="D389" s="80"/>
      <c r="E389" s="80"/>
      <c r="F389" s="80"/>
      <c r="G389" s="80"/>
    </row>
    <row r="390">
      <c r="A390" s="106"/>
      <c r="B390" s="80"/>
      <c r="C390" s="80"/>
      <c r="D390" s="80"/>
      <c r="E390" s="80"/>
      <c r="F390" s="80"/>
      <c r="G390" s="80"/>
    </row>
    <row r="391">
      <c r="A391" s="106"/>
      <c r="B391" s="80"/>
      <c r="C391" s="80"/>
      <c r="D391" s="80"/>
      <c r="E391" s="80"/>
      <c r="F391" s="80"/>
      <c r="G391" s="80"/>
    </row>
    <row r="392">
      <c r="A392" s="106"/>
      <c r="B392" s="80"/>
      <c r="C392" s="80"/>
      <c r="D392" s="80"/>
      <c r="E392" s="80"/>
      <c r="F392" s="80"/>
      <c r="G392" s="80"/>
    </row>
    <row r="393">
      <c r="A393" s="106"/>
      <c r="B393" s="80"/>
      <c r="C393" s="80"/>
      <c r="D393" s="80"/>
      <c r="E393" s="80"/>
      <c r="F393" s="80"/>
      <c r="G393" s="80"/>
    </row>
    <row r="394">
      <c r="A394" s="106"/>
      <c r="B394" s="80"/>
      <c r="C394" s="80"/>
      <c r="D394" s="80"/>
      <c r="E394" s="80"/>
      <c r="F394" s="80"/>
      <c r="G394" s="80"/>
    </row>
    <row r="395">
      <c r="A395" s="106"/>
      <c r="B395" s="80"/>
      <c r="C395" s="80"/>
      <c r="D395" s="80"/>
      <c r="E395" s="80"/>
      <c r="F395" s="80"/>
      <c r="G395" s="80"/>
    </row>
    <row r="396">
      <c r="A396" s="106"/>
      <c r="B396" s="80"/>
      <c r="C396" s="80"/>
      <c r="D396" s="80"/>
      <c r="E396" s="80"/>
      <c r="F396" s="80"/>
      <c r="G396" s="80"/>
    </row>
    <row r="397">
      <c r="A397" s="106"/>
      <c r="B397" s="80"/>
      <c r="C397" s="80"/>
      <c r="D397" s="80"/>
      <c r="E397" s="80"/>
      <c r="F397" s="80"/>
      <c r="G397" s="80"/>
    </row>
    <row r="398">
      <c r="A398" s="106"/>
      <c r="B398" s="80"/>
      <c r="C398" s="80"/>
      <c r="D398" s="80"/>
      <c r="E398" s="80"/>
      <c r="F398" s="80"/>
      <c r="G398" s="80"/>
    </row>
    <row r="399">
      <c r="A399" s="106"/>
      <c r="B399" s="80"/>
      <c r="C399" s="80"/>
      <c r="D399" s="80"/>
      <c r="E399" s="80"/>
      <c r="F399" s="80"/>
      <c r="G399" s="80"/>
    </row>
    <row r="400">
      <c r="A400" s="106"/>
      <c r="B400" s="80"/>
      <c r="C400" s="80"/>
      <c r="D400" s="80"/>
      <c r="E400" s="80"/>
      <c r="F400" s="80"/>
      <c r="G400" s="80"/>
    </row>
    <row r="401">
      <c r="A401" s="106"/>
      <c r="B401" s="80"/>
      <c r="C401" s="80"/>
      <c r="D401" s="80"/>
      <c r="E401" s="80"/>
      <c r="F401" s="80"/>
      <c r="G401" s="80"/>
    </row>
    <row r="402">
      <c r="A402" s="106"/>
      <c r="B402" s="80"/>
      <c r="C402" s="80"/>
      <c r="D402" s="80"/>
      <c r="E402" s="80"/>
      <c r="F402" s="80"/>
      <c r="G402" s="80"/>
    </row>
    <row r="403">
      <c r="A403" s="106"/>
      <c r="B403" s="80"/>
      <c r="C403" s="80"/>
      <c r="D403" s="80"/>
      <c r="E403" s="80"/>
      <c r="F403" s="80"/>
      <c r="G403" s="80"/>
    </row>
    <row r="404">
      <c r="A404" s="106"/>
      <c r="B404" s="80"/>
      <c r="C404" s="80"/>
      <c r="D404" s="80"/>
      <c r="E404" s="80"/>
      <c r="F404" s="80"/>
      <c r="G404" s="80"/>
    </row>
    <row r="405">
      <c r="A405" s="106"/>
      <c r="B405" s="80"/>
      <c r="C405" s="80"/>
      <c r="D405" s="80"/>
      <c r="E405" s="80"/>
      <c r="F405" s="80"/>
      <c r="G405" s="80"/>
    </row>
    <row r="406">
      <c r="A406" s="106"/>
      <c r="B406" s="80"/>
      <c r="C406" s="80"/>
      <c r="D406" s="80"/>
      <c r="E406" s="80"/>
      <c r="F406" s="80"/>
      <c r="G406" s="80"/>
    </row>
    <row r="407">
      <c r="A407" s="106"/>
      <c r="B407" s="80"/>
      <c r="C407" s="80"/>
      <c r="D407" s="80"/>
      <c r="E407" s="80"/>
      <c r="F407" s="80"/>
      <c r="G407" s="80"/>
    </row>
    <row r="408">
      <c r="A408" s="106"/>
      <c r="B408" s="80"/>
      <c r="C408" s="80"/>
      <c r="D408" s="80"/>
      <c r="E408" s="80"/>
      <c r="F408" s="80"/>
      <c r="G408" s="80"/>
    </row>
    <row r="409">
      <c r="A409" s="106"/>
      <c r="B409" s="80"/>
      <c r="C409" s="80"/>
      <c r="D409" s="80"/>
      <c r="E409" s="80"/>
      <c r="F409" s="80"/>
      <c r="G409" s="80"/>
    </row>
    <row r="410">
      <c r="A410" s="106"/>
      <c r="B410" s="80"/>
      <c r="C410" s="80"/>
      <c r="D410" s="80"/>
      <c r="E410" s="80"/>
      <c r="F410" s="80"/>
      <c r="G410" s="80"/>
    </row>
    <row r="411">
      <c r="A411" s="106"/>
      <c r="B411" s="80"/>
      <c r="C411" s="80"/>
      <c r="D411" s="80"/>
      <c r="E411" s="80"/>
      <c r="F411" s="80"/>
      <c r="G411" s="80"/>
    </row>
    <row r="412">
      <c r="A412" s="106"/>
      <c r="B412" s="80"/>
      <c r="C412" s="80"/>
      <c r="D412" s="80"/>
      <c r="E412" s="80"/>
      <c r="F412" s="80"/>
      <c r="G412" s="80"/>
    </row>
    <row r="413">
      <c r="A413" s="106"/>
      <c r="B413" s="80"/>
      <c r="C413" s="80"/>
      <c r="D413" s="80"/>
      <c r="E413" s="80"/>
      <c r="F413" s="80"/>
      <c r="G413" s="80"/>
    </row>
    <row r="414">
      <c r="A414" s="106"/>
      <c r="B414" s="80"/>
      <c r="C414" s="80"/>
      <c r="D414" s="80"/>
      <c r="E414" s="80"/>
      <c r="F414" s="80"/>
      <c r="G414" s="80"/>
    </row>
    <row r="415">
      <c r="A415" s="106"/>
      <c r="B415" s="80"/>
      <c r="C415" s="80"/>
      <c r="D415" s="80"/>
      <c r="E415" s="80"/>
      <c r="F415" s="80"/>
      <c r="G415" s="80"/>
    </row>
    <row r="416">
      <c r="A416" s="106"/>
      <c r="B416" s="80"/>
      <c r="C416" s="80"/>
      <c r="D416" s="80"/>
      <c r="E416" s="80"/>
      <c r="F416" s="80"/>
      <c r="G416" s="80"/>
    </row>
    <row r="417">
      <c r="A417" s="106"/>
      <c r="B417" s="80"/>
      <c r="C417" s="80"/>
      <c r="D417" s="80"/>
      <c r="E417" s="80"/>
      <c r="F417" s="80"/>
      <c r="G417" s="80"/>
    </row>
    <row r="418">
      <c r="A418" s="106"/>
      <c r="B418" s="80"/>
      <c r="C418" s="80"/>
      <c r="D418" s="80"/>
      <c r="E418" s="80"/>
      <c r="F418" s="80"/>
      <c r="G418" s="80"/>
    </row>
    <row r="419">
      <c r="A419" s="106"/>
      <c r="B419" s="80"/>
      <c r="C419" s="80"/>
      <c r="D419" s="80"/>
      <c r="E419" s="80"/>
      <c r="F419" s="80"/>
      <c r="G419" s="80"/>
    </row>
    <row r="420">
      <c r="A420" s="106"/>
      <c r="B420" s="80"/>
      <c r="C420" s="80"/>
      <c r="D420" s="80"/>
      <c r="E420" s="80"/>
      <c r="F420" s="80"/>
      <c r="G420" s="80"/>
    </row>
    <row r="421">
      <c r="A421" s="106"/>
      <c r="B421" s="80"/>
      <c r="C421" s="80"/>
      <c r="D421" s="80"/>
      <c r="E421" s="80"/>
      <c r="F421" s="80"/>
      <c r="G421" s="80"/>
    </row>
    <row r="422">
      <c r="A422" s="106"/>
      <c r="B422" s="80"/>
      <c r="C422" s="80"/>
      <c r="D422" s="80"/>
      <c r="E422" s="80"/>
      <c r="F422" s="80"/>
      <c r="G422" s="80"/>
    </row>
    <row r="423">
      <c r="A423" s="106"/>
      <c r="B423" s="80"/>
      <c r="C423" s="80"/>
      <c r="D423" s="80"/>
      <c r="E423" s="80"/>
      <c r="F423" s="80"/>
      <c r="G423" s="80"/>
    </row>
    <row r="424">
      <c r="A424" s="106"/>
      <c r="B424" s="80"/>
      <c r="C424" s="80"/>
      <c r="D424" s="80"/>
      <c r="E424" s="80"/>
      <c r="F424" s="80"/>
      <c r="G424" s="80"/>
    </row>
    <row r="425">
      <c r="A425" s="106"/>
      <c r="B425" s="80"/>
      <c r="C425" s="80"/>
      <c r="D425" s="80"/>
      <c r="E425" s="80"/>
      <c r="F425" s="80"/>
      <c r="G425" s="80"/>
    </row>
    <row r="426">
      <c r="A426" s="106"/>
      <c r="B426" s="80"/>
      <c r="C426" s="80"/>
      <c r="D426" s="80"/>
      <c r="E426" s="80"/>
      <c r="F426" s="80"/>
      <c r="G426" s="80"/>
    </row>
    <row r="427">
      <c r="A427" s="106"/>
      <c r="B427" s="80"/>
      <c r="C427" s="80"/>
      <c r="D427" s="80"/>
      <c r="E427" s="80"/>
      <c r="F427" s="80"/>
      <c r="G427" s="80"/>
    </row>
    <row r="428">
      <c r="A428" s="106"/>
      <c r="B428" s="80"/>
      <c r="C428" s="80"/>
      <c r="D428" s="80"/>
      <c r="E428" s="80"/>
      <c r="F428" s="80"/>
      <c r="G428" s="80"/>
    </row>
    <row r="429">
      <c r="A429" s="106"/>
      <c r="B429" s="80"/>
      <c r="C429" s="80"/>
      <c r="D429" s="80"/>
      <c r="E429" s="80"/>
      <c r="F429" s="80"/>
      <c r="G429" s="80"/>
    </row>
    <row r="430">
      <c r="A430" s="106"/>
      <c r="B430" s="80"/>
      <c r="C430" s="80"/>
      <c r="D430" s="80"/>
      <c r="E430" s="80"/>
      <c r="F430" s="80"/>
      <c r="G430" s="80"/>
    </row>
    <row r="431">
      <c r="A431" s="106"/>
      <c r="B431" s="80"/>
      <c r="C431" s="80"/>
      <c r="D431" s="80"/>
      <c r="E431" s="80"/>
      <c r="F431" s="80"/>
      <c r="G431" s="80"/>
    </row>
    <row r="432">
      <c r="A432" s="106"/>
      <c r="B432" s="80"/>
      <c r="C432" s="80"/>
      <c r="D432" s="80"/>
      <c r="E432" s="80"/>
      <c r="F432" s="80"/>
      <c r="G432" s="80"/>
    </row>
    <row r="433">
      <c r="A433" s="106"/>
      <c r="B433" s="80"/>
      <c r="C433" s="80"/>
      <c r="D433" s="80"/>
      <c r="E433" s="80"/>
      <c r="F433" s="80"/>
      <c r="G433" s="80"/>
    </row>
    <row r="434">
      <c r="A434" s="106"/>
      <c r="B434" s="80"/>
      <c r="C434" s="80"/>
      <c r="D434" s="80"/>
      <c r="E434" s="80"/>
      <c r="F434" s="80"/>
      <c r="G434" s="80"/>
    </row>
    <row r="435">
      <c r="A435" s="106"/>
      <c r="B435" s="80"/>
      <c r="C435" s="80"/>
      <c r="D435" s="80"/>
      <c r="E435" s="80"/>
      <c r="F435" s="80"/>
      <c r="G435" s="80"/>
    </row>
    <row r="436">
      <c r="A436" s="106"/>
      <c r="B436" s="80"/>
      <c r="C436" s="80"/>
      <c r="D436" s="80"/>
      <c r="E436" s="80"/>
      <c r="F436" s="80"/>
      <c r="G436" s="80"/>
    </row>
    <row r="437">
      <c r="A437" s="106"/>
      <c r="B437" s="80"/>
      <c r="C437" s="80"/>
      <c r="D437" s="80"/>
      <c r="E437" s="80"/>
      <c r="F437" s="80"/>
      <c r="G437" s="80"/>
    </row>
    <row r="438">
      <c r="A438" s="106"/>
      <c r="B438" s="80"/>
      <c r="C438" s="80"/>
      <c r="D438" s="80"/>
      <c r="E438" s="80"/>
      <c r="F438" s="80"/>
      <c r="G438" s="80"/>
    </row>
    <row r="439">
      <c r="A439" s="106"/>
      <c r="B439" s="80"/>
      <c r="C439" s="80"/>
      <c r="D439" s="80"/>
      <c r="E439" s="80"/>
      <c r="F439" s="80"/>
      <c r="G439" s="80"/>
    </row>
    <row r="440">
      <c r="A440" s="106"/>
      <c r="B440" s="80"/>
      <c r="C440" s="80"/>
      <c r="D440" s="80"/>
      <c r="E440" s="80"/>
      <c r="F440" s="80"/>
      <c r="G440" s="80"/>
    </row>
    <row r="441">
      <c r="A441" s="106"/>
      <c r="B441" s="80"/>
      <c r="C441" s="80"/>
      <c r="D441" s="80"/>
      <c r="E441" s="80"/>
      <c r="F441" s="80"/>
      <c r="G441" s="80"/>
    </row>
    <row r="442">
      <c r="A442" s="106"/>
      <c r="B442" s="80"/>
      <c r="C442" s="80"/>
      <c r="D442" s="80"/>
      <c r="E442" s="80"/>
      <c r="F442" s="80"/>
      <c r="G442" s="80"/>
    </row>
    <row r="443">
      <c r="A443" s="106"/>
      <c r="B443" s="80"/>
      <c r="C443" s="80"/>
      <c r="D443" s="80"/>
      <c r="E443" s="80"/>
      <c r="F443" s="80"/>
      <c r="G443" s="80"/>
    </row>
    <row r="444">
      <c r="A444" s="106"/>
      <c r="B444" s="80"/>
      <c r="C444" s="80"/>
      <c r="D444" s="80"/>
      <c r="E444" s="80"/>
      <c r="F444" s="80"/>
      <c r="G444" s="80"/>
    </row>
    <row r="445">
      <c r="A445" s="106"/>
      <c r="B445" s="80"/>
      <c r="C445" s="80"/>
      <c r="D445" s="80"/>
      <c r="E445" s="80"/>
      <c r="F445" s="80"/>
      <c r="G445" s="80"/>
    </row>
    <row r="446">
      <c r="A446" s="106"/>
      <c r="B446" s="80"/>
      <c r="C446" s="80"/>
      <c r="D446" s="80"/>
      <c r="E446" s="80"/>
      <c r="F446" s="80"/>
      <c r="G446" s="80"/>
    </row>
    <row r="447">
      <c r="A447" s="106"/>
      <c r="B447" s="80"/>
      <c r="C447" s="80"/>
      <c r="D447" s="80"/>
      <c r="E447" s="80"/>
      <c r="F447" s="80"/>
      <c r="G447" s="80"/>
    </row>
    <row r="448">
      <c r="A448" s="106"/>
      <c r="B448" s="80"/>
      <c r="C448" s="80"/>
      <c r="D448" s="80"/>
      <c r="E448" s="80"/>
      <c r="F448" s="80"/>
      <c r="G448" s="80"/>
    </row>
    <row r="449">
      <c r="A449" s="106"/>
      <c r="B449" s="80"/>
      <c r="C449" s="80"/>
      <c r="D449" s="80"/>
      <c r="E449" s="80"/>
      <c r="F449" s="80"/>
      <c r="G449" s="80"/>
    </row>
    <row r="450">
      <c r="A450" s="106"/>
      <c r="B450" s="80"/>
      <c r="C450" s="80"/>
      <c r="D450" s="80"/>
      <c r="E450" s="80"/>
      <c r="F450" s="80"/>
      <c r="G450" s="80"/>
    </row>
    <row r="451">
      <c r="A451" s="106"/>
      <c r="B451" s="80"/>
      <c r="C451" s="80"/>
      <c r="D451" s="80"/>
      <c r="E451" s="80"/>
      <c r="F451" s="80"/>
      <c r="G451" s="80"/>
    </row>
    <row r="452">
      <c r="A452" s="106"/>
      <c r="B452" s="80"/>
      <c r="C452" s="80"/>
      <c r="D452" s="80"/>
      <c r="E452" s="80"/>
      <c r="F452" s="80"/>
      <c r="G452" s="80"/>
    </row>
    <row r="453">
      <c r="A453" s="106"/>
      <c r="B453" s="80"/>
      <c r="C453" s="80"/>
      <c r="D453" s="80"/>
      <c r="E453" s="80"/>
      <c r="F453" s="80"/>
      <c r="G453" s="80"/>
    </row>
    <row r="454">
      <c r="A454" s="106"/>
      <c r="B454" s="80"/>
      <c r="C454" s="80"/>
      <c r="D454" s="80"/>
      <c r="E454" s="80"/>
      <c r="F454" s="80"/>
      <c r="G454" s="80"/>
    </row>
    <row r="455">
      <c r="A455" s="106"/>
      <c r="B455" s="80"/>
      <c r="C455" s="80"/>
      <c r="D455" s="80"/>
      <c r="E455" s="80"/>
      <c r="F455" s="80"/>
      <c r="G455" s="80"/>
    </row>
    <row r="456">
      <c r="A456" s="106"/>
      <c r="B456" s="80"/>
      <c r="C456" s="80"/>
      <c r="D456" s="80"/>
      <c r="E456" s="80"/>
      <c r="F456" s="80"/>
      <c r="G456" s="80"/>
    </row>
    <row r="457">
      <c r="A457" s="106"/>
      <c r="B457" s="80"/>
      <c r="C457" s="80"/>
      <c r="D457" s="80"/>
      <c r="E457" s="80"/>
      <c r="F457" s="80"/>
      <c r="G457" s="80"/>
    </row>
    <row r="458">
      <c r="A458" s="106"/>
      <c r="B458" s="80"/>
      <c r="C458" s="80"/>
      <c r="D458" s="80"/>
      <c r="E458" s="80"/>
      <c r="F458" s="80"/>
      <c r="G458" s="80"/>
    </row>
    <row r="459">
      <c r="A459" s="106"/>
      <c r="B459" s="80"/>
      <c r="C459" s="80"/>
      <c r="D459" s="80"/>
      <c r="E459" s="80"/>
      <c r="F459" s="80"/>
      <c r="G459" s="80"/>
    </row>
    <row r="460">
      <c r="A460" s="106"/>
      <c r="B460" s="80"/>
      <c r="C460" s="80"/>
      <c r="D460" s="80"/>
      <c r="E460" s="80"/>
      <c r="F460" s="80"/>
      <c r="G460" s="80"/>
    </row>
    <row r="461">
      <c r="A461" s="106"/>
      <c r="B461" s="80"/>
      <c r="C461" s="80"/>
      <c r="D461" s="80"/>
      <c r="E461" s="80"/>
      <c r="F461" s="80"/>
      <c r="G461" s="80"/>
    </row>
    <row r="462">
      <c r="A462" s="106"/>
      <c r="B462" s="80"/>
      <c r="C462" s="80"/>
      <c r="D462" s="80"/>
      <c r="E462" s="80"/>
      <c r="F462" s="80"/>
      <c r="G462" s="80"/>
    </row>
    <row r="463">
      <c r="A463" s="106"/>
      <c r="B463" s="80"/>
      <c r="C463" s="80"/>
      <c r="D463" s="80"/>
      <c r="E463" s="80"/>
      <c r="F463" s="80"/>
      <c r="G463" s="80"/>
    </row>
    <row r="464">
      <c r="A464" s="106"/>
      <c r="B464" s="80"/>
      <c r="C464" s="80"/>
      <c r="D464" s="80"/>
      <c r="E464" s="80"/>
      <c r="F464" s="80"/>
      <c r="G464" s="80"/>
    </row>
    <row r="465">
      <c r="A465" s="106"/>
      <c r="B465" s="80"/>
      <c r="C465" s="80"/>
      <c r="D465" s="80"/>
      <c r="E465" s="80"/>
      <c r="F465" s="80"/>
      <c r="G465" s="80"/>
    </row>
    <row r="466">
      <c r="A466" s="106"/>
      <c r="B466" s="80"/>
      <c r="C466" s="80"/>
      <c r="D466" s="80"/>
      <c r="E466" s="80"/>
      <c r="F466" s="80"/>
      <c r="G466" s="80"/>
    </row>
    <row r="467">
      <c r="A467" s="106"/>
      <c r="B467" s="80"/>
      <c r="C467" s="80"/>
      <c r="D467" s="80"/>
      <c r="E467" s="80"/>
      <c r="F467" s="80"/>
      <c r="G467" s="80"/>
    </row>
    <row r="468">
      <c r="A468" s="106"/>
      <c r="B468" s="80"/>
      <c r="C468" s="80"/>
      <c r="D468" s="80"/>
      <c r="E468" s="80"/>
      <c r="F468" s="80"/>
      <c r="G468" s="80"/>
    </row>
    <row r="469">
      <c r="A469" s="106"/>
      <c r="B469" s="80"/>
      <c r="C469" s="80"/>
      <c r="D469" s="80"/>
      <c r="E469" s="80"/>
      <c r="F469" s="80"/>
      <c r="G469" s="80"/>
    </row>
    <row r="470">
      <c r="A470" s="106"/>
      <c r="B470" s="80"/>
      <c r="C470" s="80"/>
      <c r="D470" s="80"/>
      <c r="E470" s="80"/>
      <c r="F470" s="80"/>
      <c r="G470" s="80"/>
    </row>
    <row r="471">
      <c r="A471" s="106"/>
      <c r="B471" s="80"/>
      <c r="C471" s="80"/>
      <c r="D471" s="80"/>
      <c r="E471" s="80"/>
      <c r="F471" s="80"/>
      <c r="G471" s="80"/>
    </row>
    <row r="472">
      <c r="A472" s="106"/>
      <c r="B472" s="80"/>
      <c r="C472" s="80"/>
      <c r="D472" s="80"/>
      <c r="E472" s="80"/>
      <c r="F472" s="80"/>
      <c r="G472" s="80"/>
    </row>
    <row r="473">
      <c r="A473" s="106"/>
      <c r="B473" s="80"/>
      <c r="C473" s="80"/>
      <c r="D473" s="80"/>
      <c r="E473" s="80"/>
      <c r="F473" s="80"/>
      <c r="G473" s="80"/>
    </row>
    <row r="474">
      <c r="A474" s="106"/>
      <c r="B474" s="80"/>
      <c r="C474" s="80"/>
      <c r="D474" s="80"/>
      <c r="E474" s="80"/>
      <c r="F474" s="80"/>
      <c r="G474" s="80"/>
    </row>
    <row r="475">
      <c r="A475" s="106"/>
      <c r="B475" s="80"/>
      <c r="C475" s="80"/>
      <c r="D475" s="80"/>
      <c r="E475" s="80"/>
      <c r="F475" s="80"/>
      <c r="G475" s="80"/>
    </row>
    <row r="476">
      <c r="A476" s="106"/>
      <c r="B476" s="80"/>
      <c r="C476" s="80"/>
      <c r="D476" s="80"/>
      <c r="E476" s="80"/>
      <c r="F476" s="80"/>
      <c r="G476" s="80"/>
    </row>
    <row r="477">
      <c r="A477" s="106"/>
      <c r="B477" s="80"/>
      <c r="C477" s="80"/>
      <c r="D477" s="80"/>
      <c r="E477" s="80"/>
      <c r="F477" s="80"/>
      <c r="G477" s="80"/>
    </row>
    <row r="478">
      <c r="A478" s="106"/>
      <c r="B478" s="80"/>
      <c r="C478" s="80"/>
      <c r="D478" s="80"/>
      <c r="E478" s="80"/>
      <c r="F478" s="80"/>
      <c r="G478" s="80"/>
    </row>
    <row r="479">
      <c r="A479" s="106"/>
      <c r="B479" s="80"/>
      <c r="C479" s="80"/>
      <c r="D479" s="80"/>
      <c r="E479" s="80"/>
      <c r="F479" s="80"/>
      <c r="G479" s="80"/>
    </row>
    <row r="480">
      <c r="A480" s="106"/>
      <c r="B480" s="80"/>
      <c r="C480" s="80"/>
      <c r="D480" s="80"/>
      <c r="E480" s="80"/>
      <c r="F480" s="80"/>
      <c r="G480" s="80"/>
    </row>
    <row r="481">
      <c r="A481" s="106"/>
      <c r="B481" s="80"/>
      <c r="C481" s="80"/>
      <c r="D481" s="80"/>
      <c r="E481" s="80"/>
      <c r="F481" s="80"/>
      <c r="G481" s="80"/>
    </row>
    <row r="482">
      <c r="A482" s="106"/>
      <c r="B482" s="80"/>
      <c r="C482" s="80"/>
      <c r="D482" s="80"/>
      <c r="E482" s="80"/>
      <c r="F482" s="80"/>
      <c r="G482" s="80"/>
    </row>
    <row r="483">
      <c r="A483" s="106"/>
      <c r="B483" s="80"/>
      <c r="C483" s="80"/>
      <c r="D483" s="80"/>
      <c r="E483" s="80"/>
      <c r="F483" s="80"/>
      <c r="G483" s="80"/>
    </row>
    <row r="484">
      <c r="A484" s="106"/>
      <c r="B484" s="80"/>
      <c r="C484" s="80"/>
      <c r="D484" s="80"/>
      <c r="E484" s="80"/>
      <c r="F484" s="80"/>
      <c r="G484" s="80"/>
    </row>
    <row r="485">
      <c r="A485" s="106"/>
      <c r="B485" s="80"/>
      <c r="C485" s="80"/>
      <c r="D485" s="80"/>
      <c r="E485" s="80"/>
      <c r="F485" s="80"/>
      <c r="G485" s="80"/>
    </row>
    <row r="486">
      <c r="A486" s="106"/>
      <c r="B486" s="80"/>
      <c r="C486" s="80"/>
      <c r="D486" s="80"/>
      <c r="E486" s="80"/>
      <c r="F486" s="80"/>
      <c r="G486" s="80"/>
    </row>
    <row r="487">
      <c r="A487" s="106"/>
      <c r="B487" s="80"/>
      <c r="C487" s="80"/>
      <c r="D487" s="80"/>
      <c r="E487" s="80"/>
      <c r="F487" s="80"/>
      <c r="G487" s="80"/>
    </row>
    <row r="488">
      <c r="A488" s="106"/>
      <c r="B488" s="80"/>
      <c r="C488" s="80"/>
      <c r="D488" s="80"/>
      <c r="E488" s="80"/>
      <c r="F488" s="80"/>
      <c r="G488" s="80"/>
    </row>
    <row r="489">
      <c r="A489" s="106"/>
      <c r="B489" s="80"/>
      <c r="C489" s="80"/>
      <c r="D489" s="80"/>
      <c r="E489" s="80"/>
      <c r="F489" s="80"/>
      <c r="G489" s="80"/>
    </row>
    <row r="490">
      <c r="A490" s="106"/>
      <c r="B490" s="80"/>
      <c r="C490" s="80"/>
      <c r="D490" s="80"/>
      <c r="E490" s="80"/>
      <c r="F490" s="80"/>
      <c r="G490" s="80"/>
    </row>
    <row r="491">
      <c r="A491" s="106"/>
      <c r="B491" s="80"/>
      <c r="C491" s="80"/>
      <c r="D491" s="80"/>
      <c r="E491" s="80"/>
      <c r="F491" s="80"/>
      <c r="G491" s="80"/>
    </row>
    <row r="492">
      <c r="A492" s="106"/>
      <c r="B492" s="80"/>
      <c r="C492" s="80"/>
      <c r="D492" s="80"/>
      <c r="E492" s="80"/>
      <c r="F492" s="80"/>
      <c r="G492" s="80"/>
    </row>
    <row r="493">
      <c r="A493" s="106"/>
      <c r="B493" s="80"/>
      <c r="C493" s="80"/>
      <c r="D493" s="80"/>
      <c r="E493" s="80"/>
      <c r="F493" s="80"/>
      <c r="G493" s="80"/>
    </row>
    <row r="494">
      <c r="A494" s="106"/>
      <c r="B494" s="80"/>
      <c r="C494" s="80"/>
      <c r="D494" s="80"/>
      <c r="E494" s="80"/>
      <c r="F494" s="80"/>
      <c r="G494" s="80"/>
    </row>
    <row r="495">
      <c r="A495" s="106"/>
      <c r="B495" s="80"/>
      <c r="C495" s="80"/>
      <c r="D495" s="80"/>
      <c r="E495" s="80"/>
      <c r="F495" s="80"/>
      <c r="G495" s="80"/>
    </row>
    <row r="496">
      <c r="A496" s="106"/>
      <c r="B496" s="80"/>
      <c r="C496" s="80"/>
      <c r="D496" s="80"/>
      <c r="E496" s="80"/>
      <c r="F496" s="80"/>
      <c r="G496" s="80"/>
    </row>
    <row r="497">
      <c r="A497" s="106"/>
      <c r="B497" s="80"/>
      <c r="C497" s="80"/>
      <c r="D497" s="80"/>
      <c r="E497" s="80"/>
      <c r="F497" s="80"/>
      <c r="G497" s="80"/>
    </row>
    <row r="498">
      <c r="A498" s="106"/>
      <c r="B498" s="80"/>
      <c r="C498" s="80"/>
      <c r="D498" s="80"/>
      <c r="E498" s="80"/>
      <c r="F498" s="80"/>
      <c r="G498" s="80"/>
    </row>
    <row r="499">
      <c r="A499" s="106"/>
      <c r="B499" s="80"/>
      <c r="C499" s="80"/>
      <c r="D499" s="80"/>
      <c r="E499" s="80"/>
      <c r="F499" s="80"/>
      <c r="G499" s="80"/>
    </row>
    <row r="500">
      <c r="A500" s="106"/>
      <c r="B500" s="80"/>
      <c r="C500" s="80"/>
      <c r="D500" s="80"/>
      <c r="E500" s="80"/>
      <c r="F500" s="80"/>
      <c r="G500" s="80"/>
    </row>
    <row r="501">
      <c r="A501" s="106"/>
      <c r="B501" s="80"/>
      <c r="C501" s="80"/>
      <c r="D501" s="80"/>
      <c r="E501" s="80"/>
      <c r="F501" s="80"/>
      <c r="G501" s="80"/>
    </row>
    <row r="502">
      <c r="A502" s="106"/>
      <c r="B502" s="80"/>
      <c r="C502" s="80"/>
      <c r="D502" s="80"/>
      <c r="E502" s="80"/>
      <c r="F502" s="80"/>
      <c r="G502" s="80"/>
    </row>
    <row r="503">
      <c r="A503" s="106"/>
      <c r="B503" s="80"/>
      <c r="C503" s="80"/>
      <c r="D503" s="80"/>
      <c r="E503" s="80"/>
      <c r="F503" s="80"/>
      <c r="G503" s="80"/>
    </row>
    <row r="504">
      <c r="A504" s="106"/>
      <c r="B504" s="80"/>
      <c r="C504" s="80"/>
      <c r="D504" s="80"/>
      <c r="E504" s="80"/>
      <c r="F504" s="80"/>
      <c r="G504" s="80"/>
    </row>
    <row r="505">
      <c r="A505" s="106"/>
      <c r="B505" s="80"/>
      <c r="C505" s="80"/>
      <c r="D505" s="80"/>
      <c r="E505" s="80"/>
      <c r="F505" s="80"/>
      <c r="G505" s="80"/>
    </row>
    <row r="506">
      <c r="A506" s="106"/>
      <c r="B506" s="80"/>
      <c r="C506" s="80"/>
      <c r="D506" s="80"/>
      <c r="E506" s="80"/>
      <c r="F506" s="80"/>
      <c r="G506" s="80"/>
    </row>
    <row r="507">
      <c r="A507" s="106"/>
      <c r="B507" s="80"/>
      <c r="C507" s="80"/>
      <c r="D507" s="80"/>
      <c r="E507" s="80"/>
      <c r="F507" s="80"/>
      <c r="G507" s="80"/>
    </row>
    <row r="508">
      <c r="A508" s="106"/>
      <c r="B508" s="80"/>
      <c r="C508" s="80"/>
      <c r="D508" s="80"/>
      <c r="E508" s="80"/>
      <c r="F508" s="80"/>
      <c r="G508" s="80"/>
    </row>
    <row r="509">
      <c r="A509" s="106"/>
      <c r="B509" s="80"/>
      <c r="C509" s="80"/>
      <c r="D509" s="80"/>
      <c r="E509" s="80"/>
      <c r="F509" s="80"/>
      <c r="G509" s="80"/>
    </row>
    <row r="510">
      <c r="A510" s="106"/>
      <c r="B510" s="80"/>
      <c r="C510" s="80"/>
      <c r="D510" s="80"/>
      <c r="E510" s="80"/>
      <c r="F510" s="80"/>
      <c r="G510" s="80"/>
    </row>
    <row r="511">
      <c r="A511" s="106"/>
      <c r="B511" s="80"/>
      <c r="C511" s="80"/>
      <c r="D511" s="80"/>
      <c r="E511" s="80"/>
      <c r="F511" s="80"/>
      <c r="G511" s="80"/>
    </row>
    <row r="512">
      <c r="A512" s="106"/>
      <c r="B512" s="80"/>
      <c r="C512" s="80"/>
      <c r="D512" s="80"/>
      <c r="E512" s="80"/>
      <c r="F512" s="80"/>
      <c r="G512" s="80"/>
    </row>
    <row r="513">
      <c r="A513" s="106"/>
      <c r="B513" s="80"/>
      <c r="C513" s="80"/>
      <c r="D513" s="80"/>
      <c r="E513" s="80"/>
      <c r="F513" s="80"/>
      <c r="G513" s="80"/>
    </row>
    <row r="514">
      <c r="A514" s="106"/>
      <c r="B514" s="80"/>
      <c r="C514" s="80"/>
      <c r="D514" s="80"/>
      <c r="E514" s="80"/>
      <c r="F514" s="80"/>
      <c r="G514" s="80"/>
    </row>
    <row r="515">
      <c r="A515" s="106"/>
      <c r="B515" s="80"/>
      <c r="C515" s="80"/>
      <c r="D515" s="80"/>
      <c r="E515" s="80"/>
      <c r="F515" s="80"/>
      <c r="G515" s="80"/>
    </row>
    <row r="516">
      <c r="A516" s="106"/>
      <c r="B516" s="80"/>
      <c r="C516" s="80"/>
      <c r="D516" s="80"/>
      <c r="E516" s="80"/>
      <c r="F516" s="80"/>
      <c r="G516" s="80"/>
    </row>
    <row r="517">
      <c r="A517" s="106"/>
      <c r="B517" s="80"/>
      <c r="C517" s="80"/>
      <c r="D517" s="80"/>
      <c r="E517" s="80"/>
      <c r="F517" s="80"/>
      <c r="G517" s="80"/>
    </row>
    <row r="518">
      <c r="A518" s="106"/>
      <c r="B518" s="80"/>
      <c r="C518" s="80"/>
      <c r="D518" s="80"/>
      <c r="E518" s="80"/>
      <c r="F518" s="80"/>
      <c r="G518" s="80"/>
    </row>
    <row r="519">
      <c r="A519" s="106"/>
      <c r="B519" s="80"/>
      <c r="C519" s="80"/>
      <c r="D519" s="80"/>
      <c r="E519" s="80"/>
      <c r="F519" s="80"/>
      <c r="G519" s="80"/>
    </row>
    <row r="520">
      <c r="A520" s="106"/>
      <c r="B520" s="80"/>
      <c r="C520" s="80"/>
      <c r="D520" s="80"/>
      <c r="E520" s="80"/>
      <c r="F520" s="80"/>
      <c r="G520" s="80"/>
    </row>
    <row r="521">
      <c r="A521" s="106"/>
      <c r="B521" s="80"/>
      <c r="C521" s="80"/>
      <c r="D521" s="80"/>
      <c r="E521" s="80"/>
      <c r="F521" s="80"/>
      <c r="G521" s="80"/>
    </row>
    <row r="522">
      <c r="A522" s="106"/>
      <c r="B522" s="80"/>
      <c r="C522" s="80"/>
      <c r="D522" s="80"/>
      <c r="E522" s="80"/>
      <c r="F522" s="80"/>
      <c r="G522" s="80"/>
    </row>
    <row r="523">
      <c r="A523" s="106"/>
      <c r="B523" s="80"/>
      <c r="C523" s="80"/>
      <c r="D523" s="80"/>
      <c r="E523" s="80"/>
      <c r="F523" s="80"/>
      <c r="G523" s="80"/>
    </row>
    <row r="524">
      <c r="A524" s="106"/>
      <c r="B524" s="80"/>
      <c r="C524" s="80"/>
      <c r="D524" s="80"/>
      <c r="E524" s="80"/>
      <c r="F524" s="80"/>
      <c r="G524" s="80"/>
    </row>
    <row r="525">
      <c r="A525" s="106"/>
      <c r="B525" s="80"/>
      <c r="C525" s="80"/>
      <c r="D525" s="80"/>
      <c r="E525" s="80"/>
      <c r="F525" s="80"/>
      <c r="G525" s="80"/>
    </row>
    <row r="526">
      <c r="A526" s="106"/>
      <c r="B526" s="80"/>
      <c r="C526" s="80"/>
      <c r="D526" s="80"/>
      <c r="E526" s="80"/>
      <c r="F526" s="80"/>
      <c r="G526" s="80"/>
    </row>
    <row r="527">
      <c r="A527" s="106"/>
      <c r="B527" s="80"/>
      <c r="C527" s="80"/>
      <c r="D527" s="80"/>
      <c r="E527" s="80"/>
      <c r="F527" s="80"/>
      <c r="G527" s="80"/>
    </row>
    <row r="528">
      <c r="A528" s="106"/>
      <c r="B528" s="80"/>
      <c r="C528" s="80"/>
      <c r="D528" s="80"/>
      <c r="E528" s="80"/>
      <c r="F528" s="80"/>
      <c r="G528" s="80"/>
    </row>
    <row r="529">
      <c r="A529" s="106"/>
      <c r="B529" s="80"/>
      <c r="C529" s="80"/>
      <c r="D529" s="80"/>
      <c r="E529" s="80"/>
      <c r="F529" s="80"/>
      <c r="G529" s="80"/>
    </row>
    <row r="530">
      <c r="A530" s="106"/>
      <c r="B530" s="80"/>
      <c r="C530" s="80"/>
      <c r="D530" s="80"/>
      <c r="E530" s="80"/>
      <c r="F530" s="80"/>
      <c r="G530" s="80"/>
    </row>
    <row r="531">
      <c r="A531" s="106"/>
      <c r="B531" s="80"/>
      <c r="C531" s="80"/>
      <c r="D531" s="80"/>
      <c r="E531" s="80"/>
      <c r="F531" s="80"/>
      <c r="G531" s="80"/>
    </row>
    <row r="532">
      <c r="A532" s="106"/>
      <c r="B532" s="80"/>
      <c r="C532" s="80"/>
      <c r="D532" s="80"/>
      <c r="E532" s="80"/>
      <c r="F532" s="80"/>
      <c r="G532" s="80"/>
    </row>
    <row r="533">
      <c r="A533" s="106"/>
      <c r="B533" s="80"/>
      <c r="C533" s="80"/>
      <c r="D533" s="80"/>
      <c r="E533" s="80"/>
      <c r="F533" s="80"/>
      <c r="G533" s="80"/>
    </row>
    <row r="534">
      <c r="A534" s="106"/>
      <c r="B534" s="80"/>
      <c r="C534" s="80"/>
      <c r="D534" s="80"/>
      <c r="E534" s="80"/>
      <c r="F534" s="80"/>
      <c r="G534" s="80"/>
    </row>
    <row r="535">
      <c r="A535" s="106"/>
      <c r="B535" s="80"/>
      <c r="C535" s="80"/>
      <c r="D535" s="80"/>
      <c r="E535" s="80"/>
      <c r="F535" s="80"/>
      <c r="G535" s="80"/>
    </row>
    <row r="536">
      <c r="A536" s="106"/>
      <c r="B536" s="80"/>
      <c r="C536" s="80"/>
      <c r="D536" s="80"/>
      <c r="E536" s="80"/>
      <c r="F536" s="80"/>
      <c r="G536" s="80"/>
    </row>
    <row r="537">
      <c r="A537" s="106"/>
      <c r="B537" s="80"/>
      <c r="C537" s="80"/>
      <c r="D537" s="80"/>
      <c r="E537" s="80"/>
      <c r="F537" s="80"/>
      <c r="G537" s="80"/>
    </row>
    <row r="538">
      <c r="A538" s="106"/>
      <c r="B538" s="80"/>
      <c r="C538" s="80"/>
      <c r="D538" s="80"/>
      <c r="E538" s="80"/>
      <c r="F538" s="80"/>
      <c r="G538" s="80"/>
    </row>
    <row r="539">
      <c r="A539" s="106"/>
      <c r="B539" s="80"/>
      <c r="C539" s="80"/>
      <c r="D539" s="80"/>
      <c r="E539" s="80"/>
      <c r="F539" s="80"/>
      <c r="G539" s="80"/>
    </row>
    <row r="540">
      <c r="A540" s="106"/>
      <c r="B540" s="80"/>
      <c r="C540" s="80"/>
      <c r="D540" s="80"/>
      <c r="E540" s="80"/>
      <c r="F540" s="80"/>
      <c r="G540" s="80"/>
    </row>
    <row r="541">
      <c r="A541" s="106"/>
      <c r="B541" s="80"/>
      <c r="C541" s="80"/>
      <c r="D541" s="80"/>
      <c r="E541" s="80"/>
      <c r="F541" s="80"/>
      <c r="G541" s="80"/>
    </row>
    <row r="542">
      <c r="A542" s="106"/>
      <c r="B542" s="80"/>
      <c r="C542" s="80"/>
      <c r="D542" s="80"/>
      <c r="E542" s="80"/>
      <c r="F542" s="80"/>
      <c r="G542" s="80"/>
    </row>
    <row r="543">
      <c r="A543" s="106"/>
      <c r="B543" s="80"/>
      <c r="C543" s="80"/>
      <c r="D543" s="80"/>
      <c r="E543" s="80"/>
      <c r="F543" s="80"/>
      <c r="G543" s="80"/>
    </row>
    <row r="544">
      <c r="A544" s="106"/>
      <c r="B544" s="80"/>
      <c r="C544" s="80"/>
      <c r="D544" s="80"/>
      <c r="E544" s="80"/>
      <c r="F544" s="80"/>
      <c r="G544" s="80"/>
    </row>
    <row r="545">
      <c r="A545" s="106"/>
      <c r="B545" s="80"/>
      <c r="C545" s="80"/>
      <c r="D545" s="80"/>
      <c r="E545" s="80"/>
      <c r="F545" s="80"/>
      <c r="G545" s="80"/>
    </row>
    <row r="546">
      <c r="A546" s="106"/>
      <c r="B546" s="80"/>
      <c r="C546" s="80"/>
      <c r="D546" s="80"/>
      <c r="E546" s="80"/>
      <c r="F546" s="80"/>
      <c r="G546" s="80"/>
    </row>
    <row r="547">
      <c r="A547" s="106"/>
      <c r="B547" s="80"/>
      <c r="C547" s="80"/>
      <c r="D547" s="80"/>
      <c r="E547" s="80"/>
      <c r="F547" s="80"/>
      <c r="G547" s="80"/>
    </row>
    <row r="548">
      <c r="A548" s="106"/>
      <c r="B548" s="80"/>
      <c r="C548" s="80"/>
      <c r="D548" s="80"/>
      <c r="E548" s="80"/>
      <c r="F548" s="80"/>
      <c r="G548" s="80"/>
    </row>
    <row r="549">
      <c r="A549" s="106"/>
      <c r="B549" s="80"/>
      <c r="C549" s="80"/>
      <c r="D549" s="80"/>
      <c r="E549" s="80"/>
      <c r="F549" s="80"/>
      <c r="G549" s="80"/>
    </row>
    <row r="550">
      <c r="A550" s="106"/>
      <c r="B550" s="80"/>
      <c r="C550" s="80"/>
      <c r="D550" s="80"/>
      <c r="E550" s="80"/>
      <c r="F550" s="80"/>
      <c r="G550" s="80"/>
    </row>
    <row r="551">
      <c r="A551" s="106"/>
      <c r="B551" s="80"/>
      <c r="C551" s="80"/>
      <c r="D551" s="80"/>
      <c r="E551" s="80"/>
      <c r="F551" s="80"/>
      <c r="G551" s="80"/>
    </row>
    <row r="552">
      <c r="A552" s="106"/>
      <c r="B552" s="80"/>
      <c r="C552" s="80"/>
      <c r="D552" s="80"/>
      <c r="E552" s="80"/>
      <c r="F552" s="80"/>
      <c r="G552" s="80"/>
    </row>
    <row r="553">
      <c r="A553" s="106"/>
      <c r="B553" s="80"/>
      <c r="C553" s="80"/>
      <c r="D553" s="80"/>
      <c r="E553" s="80"/>
      <c r="F553" s="80"/>
      <c r="G553" s="80"/>
    </row>
    <row r="554">
      <c r="A554" s="106"/>
      <c r="B554" s="80"/>
      <c r="C554" s="80"/>
      <c r="D554" s="80"/>
      <c r="E554" s="80"/>
      <c r="F554" s="80"/>
      <c r="G554" s="80"/>
    </row>
    <row r="555">
      <c r="A555" s="106"/>
      <c r="B555" s="80"/>
      <c r="C555" s="80"/>
      <c r="D555" s="80"/>
      <c r="E555" s="80"/>
      <c r="F555" s="80"/>
      <c r="G555" s="80"/>
    </row>
    <row r="556">
      <c r="A556" s="106"/>
      <c r="B556" s="80"/>
      <c r="C556" s="80"/>
      <c r="D556" s="80"/>
      <c r="E556" s="80"/>
      <c r="F556" s="80"/>
      <c r="G556" s="80"/>
    </row>
    <row r="557">
      <c r="A557" s="106"/>
      <c r="B557" s="80"/>
      <c r="C557" s="80"/>
      <c r="D557" s="80"/>
      <c r="E557" s="80"/>
      <c r="F557" s="80"/>
      <c r="G557" s="80"/>
    </row>
    <row r="558">
      <c r="A558" s="106"/>
      <c r="B558" s="80"/>
      <c r="C558" s="80"/>
      <c r="D558" s="80"/>
      <c r="E558" s="80"/>
      <c r="F558" s="80"/>
      <c r="G558" s="80"/>
    </row>
    <row r="559">
      <c r="A559" s="106"/>
      <c r="B559" s="80"/>
      <c r="C559" s="80"/>
      <c r="D559" s="80"/>
      <c r="E559" s="80"/>
      <c r="F559" s="80"/>
      <c r="G559" s="80"/>
    </row>
    <row r="560">
      <c r="A560" s="106"/>
      <c r="B560" s="80"/>
      <c r="C560" s="80"/>
      <c r="D560" s="80"/>
      <c r="E560" s="80"/>
      <c r="F560" s="80"/>
      <c r="G560" s="80"/>
    </row>
    <row r="561">
      <c r="A561" s="106"/>
      <c r="B561" s="80"/>
      <c r="C561" s="80"/>
      <c r="D561" s="80"/>
      <c r="E561" s="80"/>
      <c r="F561" s="80"/>
      <c r="G561" s="80"/>
    </row>
    <row r="562">
      <c r="A562" s="106"/>
      <c r="B562" s="80"/>
      <c r="C562" s="80"/>
      <c r="D562" s="80"/>
      <c r="E562" s="80"/>
      <c r="F562" s="80"/>
      <c r="G562" s="80"/>
    </row>
    <row r="563">
      <c r="A563" s="106"/>
      <c r="B563" s="80"/>
      <c r="C563" s="80"/>
      <c r="D563" s="80"/>
      <c r="E563" s="80"/>
      <c r="F563" s="80"/>
      <c r="G563" s="80"/>
    </row>
    <row r="564">
      <c r="A564" s="106"/>
      <c r="B564" s="80"/>
      <c r="C564" s="80"/>
      <c r="D564" s="80"/>
      <c r="E564" s="80"/>
      <c r="F564" s="80"/>
      <c r="G564" s="80"/>
    </row>
    <row r="565">
      <c r="A565" s="106"/>
      <c r="B565" s="80"/>
      <c r="C565" s="80"/>
      <c r="D565" s="80"/>
      <c r="E565" s="80"/>
      <c r="F565" s="80"/>
      <c r="G565" s="80"/>
    </row>
    <row r="566">
      <c r="A566" s="106"/>
      <c r="B566" s="80"/>
      <c r="C566" s="80"/>
      <c r="D566" s="80"/>
      <c r="E566" s="80"/>
      <c r="F566" s="80"/>
      <c r="G566" s="80"/>
    </row>
    <row r="567">
      <c r="A567" s="106"/>
      <c r="B567" s="80"/>
      <c r="C567" s="80"/>
      <c r="D567" s="80"/>
      <c r="E567" s="80"/>
      <c r="F567" s="80"/>
      <c r="G567" s="80"/>
    </row>
    <row r="568">
      <c r="A568" s="106"/>
      <c r="B568" s="80"/>
      <c r="C568" s="80"/>
      <c r="D568" s="80"/>
      <c r="E568" s="80"/>
      <c r="F568" s="80"/>
      <c r="G568" s="80"/>
    </row>
    <row r="569">
      <c r="A569" s="106"/>
      <c r="B569" s="80"/>
      <c r="C569" s="80"/>
      <c r="D569" s="80"/>
      <c r="E569" s="80"/>
      <c r="F569" s="80"/>
      <c r="G569" s="80"/>
    </row>
    <row r="570">
      <c r="A570" s="106"/>
      <c r="B570" s="80"/>
      <c r="C570" s="80"/>
      <c r="D570" s="80"/>
      <c r="E570" s="80"/>
      <c r="F570" s="80"/>
      <c r="G570" s="80"/>
    </row>
    <row r="571">
      <c r="A571" s="106"/>
      <c r="B571" s="80"/>
      <c r="C571" s="80"/>
      <c r="D571" s="80"/>
      <c r="E571" s="80"/>
      <c r="F571" s="80"/>
      <c r="G571" s="80"/>
    </row>
    <row r="572">
      <c r="A572" s="106"/>
      <c r="B572" s="80"/>
      <c r="C572" s="80"/>
      <c r="D572" s="80"/>
      <c r="E572" s="80"/>
      <c r="F572" s="80"/>
      <c r="G572" s="80"/>
    </row>
    <row r="573">
      <c r="A573" s="106"/>
      <c r="B573" s="80"/>
      <c r="C573" s="80"/>
      <c r="D573" s="80"/>
      <c r="E573" s="80"/>
      <c r="F573" s="80"/>
      <c r="G573" s="80"/>
    </row>
    <row r="574">
      <c r="A574" s="106"/>
      <c r="B574" s="80"/>
      <c r="C574" s="80"/>
      <c r="D574" s="80"/>
      <c r="E574" s="80"/>
      <c r="F574" s="80"/>
      <c r="G574" s="80"/>
    </row>
    <row r="575">
      <c r="A575" s="106"/>
      <c r="B575" s="80"/>
      <c r="C575" s="80"/>
      <c r="D575" s="80"/>
      <c r="E575" s="80"/>
      <c r="F575" s="80"/>
      <c r="G575" s="80"/>
    </row>
    <row r="576">
      <c r="A576" s="106"/>
      <c r="B576" s="80"/>
      <c r="C576" s="80"/>
      <c r="D576" s="80"/>
      <c r="E576" s="80"/>
      <c r="F576" s="80"/>
      <c r="G576" s="80"/>
    </row>
    <row r="577">
      <c r="A577" s="106"/>
      <c r="B577" s="80"/>
      <c r="C577" s="80"/>
      <c r="D577" s="80"/>
      <c r="E577" s="80"/>
      <c r="F577" s="80"/>
      <c r="G577" s="80"/>
    </row>
    <row r="578">
      <c r="A578" s="106"/>
      <c r="B578" s="80"/>
      <c r="C578" s="80"/>
      <c r="D578" s="80"/>
      <c r="E578" s="80"/>
      <c r="F578" s="80"/>
      <c r="G578" s="80"/>
    </row>
    <row r="579">
      <c r="A579" s="106"/>
      <c r="B579" s="80"/>
      <c r="C579" s="80"/>
      <c r="D579" s="80"/>
      <c r="E579" s="80"/>
      <c r="F579" s="80"/>
      <c r="G579" s="80"/>
    </row>
    <row r="580">
      <c r="A580" s="106"/>
      <c r="B580" s="80"/>
      <c r="C580" s="80"/>
      <c r="D580" s="80"/>
      <c r="E580" s="80"/>
      <c r="F580" s="80"/>
      <c r="G580" s="80"/>
    </row>
    <row r="581">
      <c r="A581" s="106"/>
      <c r="B581" s="80"/>
      <c r="C581" s="80"/>
      <c r="D581" s="80"/>
      <c r="E581" s="80"/>
      <c r="F581" s="80"/>
      <c r="G581" s="80"/>
    </row>
    <row r="582">
      <c r="A582" s="106"/>
      <c r="B582" s="80"/>
      <c r="C582" s="80"/>
      <c r="D582" s="80"/>
      <c r="E582" s="80"/>
      <c r="F582" s="80"/>
      <c r="G582" s="80"/>
    </row>
    <row r="583">
      <c r="A583" s="106"/>
      <c r="B583" s="80"/>
      <c r="C583" s="80"/>
      <c r="D583" s="80"/>
      <c r="E583" s="80"/>
      <c r="F583" s="80"/>
      <c r="G583" s="80"/>
    </row>
    <row r="584">
      <c r="A584" s="106"/>
      <c r="B584" s="80"/>
      <c r="C584" s="80"/>
      <c r="D584" s="80"/>
      <c r="E584" s="80"/>
      <c r="F584" s="80"/>
      <c r="G584" s="80"/>
    </row>
    <row r="585">
      <c r="A585" s="106"/>
      <c r="B585" s="80"/>
      <c r="C585" s="80"/>
      <c r="D585" s="80"/>
      <c r="E585" s="80"/>
      <c r="F585" s="80"/>
      <c r="G585" s="80"/>
    </row>
    <row r="586">
      <c r="A586" s="106"/>
      <c r="B586" s="80"/>
      <c r="C586" s="80"/>
      <c r="D586" s="80"/>
      <c r="E586" s="80"/>
      <c r="F586" s="80"/>
      <c r="G586" s="80"/>
    </row>
    <row r="587">
      <c r="A587" s="106"/>
      <c r="B587" s="80"/>
      <c r="C587" s="80"/>
      <c r="D587" s="80"/>
      <c r="E587" s="80"/>
      <c r="F587" s="80"/>
      <c r="G587" s="80"/>
    </row>
    <row r="588">
      <c r="A588" s="106"/>
      <c r="B588" s="80"/>
      <c r="C588" s="80"/>
      <c r="D588" s="80"/>
      <c r="E588" s="80"/>
      <c r="F588" s="80"/>
      <c r="G588" s="80"/>
    </row>
    <row r="589">
      <c r="A589" s="106"/>
      <c r="B589" s="80"/>
      <c r="C589" s="80"/>
      <c r="D589" s="80"/>
      <c r="E589" s="80"/>
      <c r="F589" s="80"/>
      <c r="G589" s="80"/>
    </row>
    <row r="590">
      <c r="A590" s="106"/>
      <c r="B590" s="80"/>
      <c r="C590" s="80"/>
      <c r="D590" s="80"/>
      <c r="E590" s="80"/>
      <c r="F590" s="80"/>
      <c r="G590" s="80"/>
    </row>
    <row r="591">
      <c r="A591" s="106"/>
      <c r="B591" s="80"/>
      <c r="C591" s="80"/>
      <c r="D591" s="80"/>
      <c r="E591" s="80"/>
      <c r="F591" s="80"/>
      <c r="G591" s="80"/>
    </row>
    <row r="592">
      <c r="A592" s="106"/>
      <c r="B592" s="80"/>
      <c r="C592" s="80"/>
      <c r="D592" s="80"/>
      <c r="E592" s="80"/>
      <c r="F592" s="80"/>
      <c r="G592" s="80"/>
    </row>
    <row r="593">
      <c r="A593" s="106"/>
      <c r="B593" s="80"/>
      <c r="C593" s="80"/>
      <c r="D593" s="80"/>
      <c r="E593" s="80"/>
      <c r="F593" s="80"/>
      <c r="G593" s="80"/>
    </row>
    <row r="594">
      <c r="A594" s="106"/>
      <c r="B594" s="80"/>
      <c r="C594" s="80"/>
      <c r="D594" s="80"/>
      <c r="E594" s="80"/>
      <c r="F594" s="80"/>
      <c r="G594" s="80"/>
    </row>
    <row r="595">
      <c r="A595" s="106"/>
      <c r="B595" s="80"/>
      <c r="C595" s="80"/>
      <c r="D595" s="80"/>
      <c r="E595" s="80"/>
      <c r="F595" s="80"/>
      <c r="G595" s="80"/>
    </row>
    <row r="596">
      <c r="A596" s="106"/>
      <c r="B596" s="80"/>
      <c r="C596" s="80"/>
      <c r="D596" s="80"/>
      <c r="E596" s="80"/>
      <c r="F596" s="80"/>
      <c r="G596" s="80"/>
    </row>
    <row r="597">
      <c r="A597" s="106"/>
      <c r="B597" s="80"/>
      <c r="C597" s="80"/>
      <c r="D597" s="80"/>
      <c r="E597" s="80"/>
      <c r="F597" s="80"/>
      <c r="G597" s="80"/>
    </row>
    <row r="598">
      <c r="A598" s="106"/>
      <c r="B598" s="80"/>
      <c r="C598" s="80"/>
      <c r="D598" s="80"/>
      <c r="E598" s="80"/>
      <c r="F598" s="80"/>
      <c r="G598" s="80"/>
    </row>
    <row r="599">
      <c r="A599" s="106"/>
      <c r="B599" s="80"/>
      <c r="C599" s="80"/>
      <c r="D599" s="80"/>
      <c r="E599" s="80"/>
      <c r="F599" s="80"/>
      <c r="G599" s="80"/>
    </row>
    <row r="600">
      <c r="A600" s="106"/>
      <c r="B600" s="80"/>
      <c r="C600" s="80"/>
      <c r="D600" s="80"/>
      <c r="E600" s="80"/>
      <c r="F600" s="80"/>
      <c r="G600" s="80"/>
    </row>
    <row r="601">
      <c r="A601" s="106"/>
      <c r="B601" s="80"/>
      <c r="C601" s="80"/>
      <c r="D601" s="80"/>
      <c r="E601" s="80"/>
      <c r="F601" s="80"/>
      <c r="G601" s="80"/>
    </row>
    <row r="602">
      <c r="A602" s="106"/>
      <c r="B602" s="80"/>
      <c r="C602" s="80"/>
      <c r="D602" s="80"/>
      <c r="E602" s="80"/>
      <c r="F602" s="80"/>
      <c r="G602" s="80"/>
    </row>
    <row r="603">
      <c r="A603" s="106"/>
      <c r="B603" s="80"/>
      <c r="C603" s="80"/>
      <c r="D603" s="80"/>
      <c r="E603" s="80"/>
      <c r="F603" s="80"/>
      <c r="G603" s="80"/>
    </row>
    <row r="604">
      <c r="A604" s="106"/>
      <c r="B604" s="80"/>
      <c r="C604" s="80"/>
      <c r="D604" s="80"/>
      <c r="E604" s="80"/>
      <c r="F604" s="80"/>
      <c r="G604" s="80"/>
    </row>
    <row r="605">
      <c r="A605" s="106"/>
      <c r="B605" s="80"/>
      <c r="C605" s="80"/>
      <c r="D605" s="80"/>
      <c r="E605" s="80"/>
      <c r="F605" s="80"/>
      <c r="G605" s="80"/>
    </row>
    <row r="606">
      <c r="A606" s="106"/>
      <c r="B606" s="80"/>
      <c r="C606" s="80"/>
      <c r="D606" s="80"/>
      <c r="E606" s="80"/>
      <c r="F606" s="80"/>
      <c r="G606" s="80"/>
    </row>
    <row r="607">
      <c r="A607" s="106"/>
      <c r="B607" s="80"/>
      <c r="C607" s="80"/>
      <c r="D607" s="80"/>
      <c r="E607" s="80"/>
      <c r="F607" s="80"/>
      <c r="G607" s="80"/>
    </row>
    <row r="608">
      <c r="A608" s="106"/>
      <c r="B608" s="80"/>
      <c r="C608" s="80"/>
      <c r="D608" s="80"/>
      <c r="E608" s="80"/>
      <c r="F608" s="80"/>
      <c r="G608" s="80"/>
    </row>
    <row r="609">
      <c r="A609" s="106"/>
      <c r="B609" s="80"/>
      <c r="C609" s="80"/>
      <c r="D609" s="80"/>
      <c r="E609" s="80"/>
      <c r="F609" s="80"/>
      <c r="G609" s="80"/>
    </row>
    <row r="610">
      <c r="A610" s="106"/>
      <c r="B610" s="80"/>
      <c r="C610" s="80"/>
      <c r="D610" s="80"/>
      <c r="E610" s="80"/>
      <c r="F610" s="80"/>
      <c r="G610" s="80"/>
    </row>
    <row r="611">
      <c r="A611" s="106"/>
      <c r="B611" s="80"/>
      <c r="C611" s="80"/>
      <c r="D611" s="80"/>
      <c r="E611" s="80"/>
      <c r="F611" s="80"/>
      <c r="G611" s="80"/>
    </row>
    <row r="612">
      <c r="A612" s="106"/>
      <c r="B612" s="80"/>
      <c r="C612" s="80"/>
      <c r="D612" s="80"/>
      <c r="E612" s="80"/>
      <c r="F612" s="80"/>
      <c r="G612" s="80"/>
    </row>
    <row r="613">
      <c r="A613" s="106"/>
      <c r="B613" s="80"/>
      <c r="C613" s="80"/>
      <c r="D613" s="80"/>
      <c r="E613" s="80"/>
      <c r="F613" s="80"/>
      <c r="G613" s="80"/>
    </row>
    <row r="614">
      <c r="A614" s="106"/>
      <c r="B614" s="80"/>
      <c r="C614" s="80"/>
      <c r="D614" s="80"/>
      <c r="E614" s="80"/>
      <c r="F614" s="80"/>
      <c r="G614" s="80"/>
    </row>
    <row r="615">
      <c r="A615" s="106"/>
      <c r="B615" s="80"/>
      <c r="C615" s="80"/>
      <c r="D615" s="80"/>
      <c r="E615" s="80"/>
      <c r="F615" s="80"/>
      <c r="G615" s="80"/>
    </row>
    <row r="616">
      <c r="A616" s="106"/>
      <c r="B616" s="80"/>
      <c r="C616" s="80"/>
      <c r="D616" s="80"/>
      <c r="E616" s="80"/>
      <c r="F616" s="80"/>
      <c r="G616" s="80"/>
    </row>
    <row r="617">
      <c r="A617" s="106"/>
      <c r="B617" s="80"/>
      <c r="C617" s="80"/>
      <c r="D617" s="80"/>
      <c r="E617" s="80"/>
      <c r="F617" s="80"/>
      <c r="G617" s="80"/>
    </row>
    <row r="618">
      <c r="A618" s="106"/>
      <c r="B618" s="80"/>
      <c r="C618" s="80"/>
      <c r="D618" s="80"/>
      <c r="E618" s="80"/>
      <c r="F618" s="80"/>
      <c r="G618" s="80"/>
    </row>
    <row r="619">
      <c r="A619" s="106"/>
      <c r="B619" s="80"/>
      <c r="C619" s="80"/>
      <c r="D619" s="80"/>
      <c r="E619" s="80"/>
      <c r="F619" s="80"/>
      <c r="G619" s="80"/>
    </row>
    <row r="620">
      <c r="A620" s="106"/>
      <c r="B620" s="80"/>
      <c r="C620" s="80"/>
      <c r="D620" s="80"/>
      <c r="E620" s="80"/>
      <c r="F620" s="80"/>
      <c r="G620" s="80"/>
    </row>
    <row r="621">
      <c r="A621" s="106"/>
      <c r="B621" s="80"/>
      <c r="C621" s="80"/>
      <c r="D621" s="80"/>
      <c r="E621" s="80"/>
      <c r="F621" s="80"/>
      <c r="G621" s="80"/>
    </row>
    <row r="622">
      <c r="A622" s="106"/>
      <c r="B622" s="80"/>
      <c r="C622" s="80"/>
      <c r="D622" s="80"/>
      <c r="E622" s="80"/>
      <c r="F622" s="80"/>
      <c r="G622" s="80"/>
    </row>
    <row r="623">
      <c r="A623" s="106"/>
      <c r="B623" s="80"/>
      <c r="C623" s="80"/>
      <c r="D623" s="80"/>
      <c r="E623" s="80"/>
      <c r="F623" s="80"/>
      <c r="G623" s="80"/>
    </row>
    <row r="624">
      <c r="A624" s="106"/>
      <c r="B624" s="80"/>
      <c r="C624" s="80"/>
      <c r="D624" s="80"/>
      <c r="E624" s="80"/>
      <c r="F624" s="80"/>
      <c r="G624" s="80"/>
    </row>
    <row r="625">
      <c r="A625" s="106"/>
      <c r="B625" s="80"/>
      <c r="C625" s="80"/>
      <c r="D625" s="80"/>
      <c r="E625" s="80"/>
      <c r="F625" s="80"/>
      <c r="G625" s="80"/>
    </row>
    <row r="626">
      <c r="A626" s="106"/>
      <c r="B626" s="80"/>
      <c r="C626" s="80"/>
      <c r="D626" s="80"/>
      <c r="E626" s="80"/>
      <c r="F626" s="80"/>
      <c r="G626" s="80"/>
    </row>
    <row r="627">
      <c r="A627" s="106"/>
      <c r="B627" s="80"/>
      <c r="C627" s="80"/>
      <c r="D627" s="80"/>
      <c r="E627" s="80"/>
      <c r="F627" s="80"/>
      <c r="G627" s="80"/>
    </row>
    <row r="628">
      <c r="A628" s="106"/>
      <c r="B628" s="80"/>
      <c r="C628" s="80"/>
      <c r="D628" s="80"/>
      <c r="E628" s="80"/>
      <c r="F628" s="80"/>
      <c r="G628" s="80"/>
    </row>
    <row r="629">
      <c r="A629" s="106"/>
      <c r="B629" s="80"/>
      <c r="C629" s="80"/>
      <c r="D629" s="80"/>
      <c r="E629" s="80"/>
      <c r="F629" s="80"/>
      <c r="G629" s="80"/>
    </row>
    <row r="630">
      <c r="A630" s="106"/>
      <c r="B630" s="80"/>
      <c r="C630" s="80"/>
      <c r="D630" s="80"/>
      <c r="E630" s="80"/>
      <c r="F630" s="80"/>
      <c r="G630" s="80"/>
    </row>
    <row r="631">
      <c r="A631" s="106"/>
      <c r="B631" s="80"/>
      <c r="C631" s="80"/>
      <c r="D631" s="80"/>
      <c r="E631" s="80"/>
      <c r="F631" s="80"/>
      <c r="G631" s="80"/>
    </row>
    <row r="632">
      <c r="A632" s="106"/>
      <c r="B632" s="80"/>
      <c r="C632" s="80"/>
      <c r="D632" s="80"/>
      <c r="E632" s="80"/>
      <c r="F632" s="80"/>
      <c r="G632" s="80"/>
    </row>
    <row r="633">
      <c r="A633" s="106"/>
      <c r="B633" s="80"/>
      <c r="C633" s="80"/>
      <c r="D633" s="80"/>
      <c r="E633" s="80"/>
      <c r="F633" s="80"/>
      <c r="G633" s="80"/>
    </row>
    <row r="634">
      <c r="A634" s="106"/>
      <c r="B634" s="80"/>
      <c r="C634" s="80"/>
      <c r="D634" s="80"/>
      <c r="E634" s="80"/>
      <c r="F634" s="80"/>
      <c r="G634" s="80"/>
    </row>
    <row r="635">
      <c r="A635" s="106"/>
      <c r="B635" s="80"/>
      <c r="C635" s="80"/>
      <c r="D635" s="80"/>
      <c r="E635" s="80"/>
      <c r="F635" s="80"/>
      <c r="G635" s="80"/>
    </row>
    <row r="636">
      <c r="A636" s="106"/>
      <c r="B636" s="80"/>
      <c r="C636" s="80"/>
      <c r="D636" s="80"/>
      <c r="E636" s="80"/>
      <c r="F636" s="80"/>
      <c r="G636" s="80"/>
    </row>
    <row r="637">
      <c r="A637" s="106"/>
      <c r="B637" s="80"/>
      <c r="C637" s="80"/>
      <c r="D637" s="80"/>
      <c r="E637" s="80"/>
      <c r="F637" s="80"/>
      <c r="G637" s="80"/>
    </row>
    <row r="638">
      <c r="A638" s="106"/>
      <c r="B638" s="80"/>
      <c r="C638" s="80"/>
      <c r="D638" s="80"/>
      <c r="E638" s="80"/>
      <c r="F638" s="80"/>
      <c r="G638" s="80"/>
    </row>
    <row r="639">
      <c r="A639" s="106"/>
      <c r="B639" s="80"/>
      <c r="C639" s="80"/>
      <c r="D639" s="80"/>
      <c r="E639" s="80"/>
      <c r="F639" s="80"/>
      <c r="G639" s="80"/>
    </row>
    <row r="640">
      <c r="A640" s="106"/>
      <c r="B640" s="80"/>
      <c r="C640" s="80"/>
      <c r="D640" s="80"/>
      <c r="E640" s="80"/>
      <c r="F640" s="80"/>
      <c r="G640" s="80"/>
    </row>
    <row r="641">
      <c r="A641" s="106"/>
      <c r="B641" s="80"/>
      <c r="C641" s="80"/>
      <c r="D641" s="80"/>
      <c r="E641" s="80"/>
      <c r="F641" s="80"/>
      <c r="G641" s="80"/>
    </row>
    <row r="642">
      <c r="A642" s="106"/>
      <c r="B642" s="80"/>
      <c r="C642" s="80"/>
      <c r="D642" s="80"/>
      <c r="E642" s="80"/>
      <c r="F642" s="80"/>
      <c r="G642" s="80"/>
    </row>
    <row r="643">
      <c r="A643" s="106"/>
      <c r="B643" s="80"/>
      <c r="C643" s="80"/>
      <c r="D643" s="80"/>
      <c r="E643" s="80"/>
      <c r="F643" s="80"/>
      <c r="G643" s="80"/>
    </row>
    <row r="644">
      <c r="A644" s="106"/>
      <c r="B644" s="80"/>
      <c r="C644" s="80"/>
      <c r="D644" s="80"/>
      <c r="E644" s="80"/>
      <c r="F644" s="80"/>
      <c r="G644" s="80"/>
    </row>
    <row r="645">
      <c r="A645" s="106"/>
      <c r="B645" s="80"/>
      <c r="C645" s="80"/>
      <c r="D645" s="80"/>
      <c r="E645" s="80"/>
      <c r="F645" s="80"/>
      <c r="G645" s="80"/>
    </row>
    <row r="646">
      <c r="A646" s="106"/>
      <c r="B646" s="80"/>
      <c r="C646" s="80"/>
      <c r="D646" s="80"/>
      <c r="E646" s="80"/>
      <c r="F646" s="80"/>
      <c r="G646" s="80"/>
    </row>
    <row r="647">
      <c r="A647" s="106"/>
      <c r="B647" s="80"/>
      <c r="C647" s="80"/>
      <c r="D647" s="80"/>
      <c r="E647" s="80"/>
      <c r="F647" s="80"/>
      <c r="G647" s="80"/>
    </row>
    <row r="648">
      <c r="A648" s="106"/>
      <c r="B648" s="80"/>
      <c r="C648" s="80"/>
      <c r="D648" s="80"/>
      <c r="E648" s="80"/>
      <c r="F648" s="80"/>
      <c r="G648" s="80"/>
    </row>
    <row r="649">
      <c r="A649" s="106"/>
      <c r="B649" s="80"/>
      <c r="C649" s="80"/>
      <c r="D649" s="80"/>
      <c r="E649" s="80"/>
      <c r="F649" s="80"/>
      <c r="G649" s="80"/>
    </row>
    <row r="650">
      <c r="A650" s="106"/>
      <c r="B650" s="80"/>
      <c r="C650" s="80"/>
      <c r="D650" s="80"/>
      <c r="E650" s="80"/>
      <c r="F650" s="80"/>
      <c r="G650" s="80"/>
    </row>
    <row r="651">
      <c r="A651" s="106"/>
      <c r="B651" s="80"/>
      <c r="C651" s="80"/>
      <c r="D651" s="80"/>
      <c r="E651" s="80"/>
      <c r="F651" s="80"/>
      <c r="G651" s="80"/>
    </row>
    <row r="652">
      <c r="A652" s="106"/>
      <c r="B652" s="80"/>
      <c r="C652" s="80"/>
      <c r="D652" s="80"/>
      <c r="E652" s="80"/>
      <c r="F652" s="80"/>
      <c r="G652" s="80"/>
    </row>
    <row r="653">
      <c r="A653" s="106"/>
      <c r="B653" s="80"/>
      <c r="C653" s="80"/>
      <c r="D653" s="80"/>
      <c r="E653" s="80"/>
      <c r="F653" s="80"/>
      <c r="G653" s="80"/>
    </row>
    <row r="654">
      <c r="A654" s="106"/>
      <c r="B654" s="80"/>
      <c r="C654" s="80"/>
      <c r="D654" s="80"/>
      <c r="E654" s="80"/>
      <c r="F654" s="80"/>
      <c r="G654" s="80"/>
    </row>
    <row r="655">
      <c r="A655" s="106"/>
      <c r="B655" s="80"/>
      <c r="C655" s="80"/>
      <c r="D655" s="80"/>
      <c r="E655" s="80"/>
      <c r="F655" s="80"/>
      <c r="G655" s="80"/>
    </row>
    <row r="656">
      <c r="A656" s="106"/>
      <c r="B656" s="80"/>
      <c r="C656" s="80"/>
      <c r="D656" s="80"/>
      <c r="E656" s="80"/>
      <c r="F656" s="80"/>
      <c r="G656" s="80"/>
    </row>
    <row r="657">
      <c r="A657" s="106"/>
      <c r="B657" s="80"/>
      <c r="C657" s="80"/>
      <c r="D657" s="80"/>
      <c r="E657" s="80"/>
      <c r="F657" s="80"/>
      <c r="G657" s="80"/>
    </row>
    <row r="658">
      <c r="A658" s="106"/>
      <c r="B658" s="80"/>
      <c r="C658" s="80"/>
      <c r="D658" s="80"/>
      <c r="E658" s="80"/>
      <c r="F658" s="80"/>
      <c r="G658" s="80"/>
    </row>
    <row r="659">
      <c r="A659" s="106"/>
      <c r="B659" s="80"/>
      <c r="C659" s="80"/>
      <c r="D659" s="80"/>
      <c r="E659" s="80"/>
      <c r="F659" s="80"/>
      <c r="G659" s="80"/>
    </row>
    <row r="660">
      <c r="A660" s="106"/>
      <c r="B660" s="80"/>
      <c r="C660" s="80"/>
      <c r="D660" s="80"/>
      <c r="E660" s="80"/>
      <c r="F660" s="80"/>
      <c r="G660" s="80"/>
    </row>
    <row r="661">
      <c r="A661" s="106"/>
      <c r="B661" s="80"/>
      <c r="C661" s="80"/>
      <c r="D661" s="80"/>
      <c r="E661" s="80"/>
      <c r="F661" s="80"/>
      <c r="G661" s="80"/>
    </row>
    <row r="662">
      <c r="A662" s="106"/>
      <c r="B662" s="80"/>
      <c r="C662" s="80"/>
      <c r="D662" s="80"/>
      <c r="E662" s="80"/>
      <c r="F662" s="80"/>
      <c r="G662" s="80"/>
    </row>
    <row r="663">
      <c r="A663" s="106"/>
      <c r="B663" s="80"/>
      <c r="C663" s="80"/>
      <c r="D663" s="80"/>
      <c r="E663" s="80"/>
      <c r="F663" s="80"/>
      <c r="G663" s="80"/>
    </row>
    <row r="664">
      <c r="A664" s="106"/>
      <c r="B664" s="80"/>
      <c r="C664" s="80"/>
      <c r="D664" s="80"/>
      <c r="E664" s="80"/>
      <c r="F664" s="80"/>
      <c r="G664" s="80"/>
    </row>
    <row r="665">
      <c r="A665" s="106"/>
      <c r="B665" s="80"/>
      <c r="C665" s="80"/>
      <c r="D665" s="80"/>
      <c r="E665" s="80"/>
      <c r="F665" s="80"/>
      <c r="G665" s="80"/>
    </row>
    <row r="666">
      <c r="A666" s="106"/>
      <c r="B666" s="80"/>
      <c r="C666" s="80"/>
      <c r="D666" s="80"/>
      <c r="E666" s="80"/>
      <c r="F666" s="80"/>
      <c r="G666" s="80"/>
    </row>
    <row r="667">
      <c r="A667" s="106"/>
      <c r="B667" s="80"/>
      <c r="C667" s="80"/>
      <c r="D667" s="80"/>
      <c r="E667" s="80"/>
      <c r="F667" s="80"/>
      <c r="G667" s="80"/>
    </row>
    <row r="668">
      <c r="A668" s="106"/>
      <c r="B668" s="80"/>
      <c r="C668" s="80"/>
      <c r="D668" s="80"/>
      <c r="E668" s="80"/>
      <c r="F668" s="80"/>
      <c r="G668" s="80"/>
    </row>
    <row r="669">
      <c r="A669" s="106"/>
      <c r="B669" s="80"/>
      <c r="C669" s="80"/>
      <c r="D669" s="80"/>
      <c r="E669" s="80"/>
      <c r="F669" s="80"/>
      <c r="G669" s="80"/>
    </row>
    <row r="670">
      <c r="A670" s="106"/>
      <c r="B670" s="80"/>
      <c r="C670" s="80"/>
      <c r="D670" s="80"/>
      <c r="E670" s="80"/>
      <c r="F670" s="80"/>
      <c r="G670" s="80"/>
    </row>
    <row r="671">
      <c r="A671" s="106"/>
      <c r="B671" s="80"/>
      <c r="C671" s="80"/>
      <c r="D671" s="80"/>
      <c r="E671" s="80"/>
      <c r="F671" s="80"/>
      <c r="G671" s="80"/>
    </row>
    <row r="672">
      <c r="A672" s="106"/>
      <c r="B672" s="80"/>
      <c r="C672" s="80"/>
      <c r="D672" s="80"/>
      <c r="E672" s="80"/>
      <c r="F672" s="80"/>
      <c r="G672" s="80"/>
    </row>
    <row r="673">
      <c r="A673" s="106"/>
      <c r="B673" s="80"/>
      <c r="C673" s="80"/>
      <c r="D673" s="80"/>
      <c r="E673" s="80"/>
      <c r="F673" s="80"/>
      <c r="G673" s="80"/>
    </row>
    <row r="674">
      <c r="A674" s="106"/>
      <c r="B674" s="80"/>
      <c r="C674" s="80"/>
      <c r="D674" s="80"/>
      <c r="E674" s="80"/>
      <c r="F674" s="80"/>
      <c r="G674" s="80"/>
    </row>
    <row r="675">
      <c r="A675" s="106"/>
      <c r="B675" s="80"/>
      <c r="C675" s="80"/>
      <c r="D675" s="80"/>
      <c r="E675" s="80"/>
      <c r="F675" s="80"/>
      <c r="G675" s="80"/>
    </row>
    <row r="676">
      <c r="A676" s="106"/>
      <c r="B676" s="80"/>
      <c r="C676" s="80"/>
      <c r="D676" s="80"/>
      <c r="E676" s="80"/>
      <c r="F676" s="80"/>
      <c r="G676" s="80"/>
    </row>
    <row r="677">
      <c r="A677" s="106"/>
      <c r="B677" s="80"/>
      <c r="C677" s="80"/>
      <c r="D677" s="80"/>
      <c r="E677" s="80"/>
      <c r="F677" s="80"/>
      <c r="G677" s="80"/>
    </row>
    <row r="678">
      <c r="A678" s="106"/>
      <c r="B678" s="80"/>
      <c r="C678" s="80"/>
      <c r="D678" s="80"/>
      <c r="E678" s="80"/>
      <c r="F678" s="80"/>
      <c r="G678" s="80"/>
    </row>
    <row r="679">
      <c r="A679" s="106"/>
      <c r="B679" s="80"/>
      <c r="C679" s="80"/>
      <c r="D679" s="80"/>
      <c r="E679" s="80"/>
      <c r="F679" s="80"/>
      <c r="G679" s="80"/>
    </row>
    <row r="680">
      <c r="A680" s="106"/>
      <c r="B680" s="80"/>
      <c r="C680" s="80"/>
      <c r="D680" s="80"/>
      <c r="E680" s="80"/>
      <c r="F680" s="80"/>
      <c r="G680" s="80"/>
    </row>
    <row r="681">
      <c r="A681" s="106"/>
      <c r="B681" s="80"/>
      <c r="C681" s="80"/>
      <c r="D681" s="80"/>
      <c r="E681" s="80"/>
      <c r="F681" s="80"/>
      <c r="G681" s="80"/>
    </row>
    <row r="682">
      <c r="A682" s="106"/>
      <c r="B682" s="80"/>
      <c r="C682" s="80"/>
      <c r="D682" s="80"/>
      <c r="E682" s="80"/>
      <c r="F682" s="80"/>
      <c r="G682" s="80"/>
    </row>
    <row r="683">
      <c r="A683" s="106"/>
      <c r="B683" s="80"/>
      <c r="C683" s="80"/>
      <c r="D683" s="80"/>
      <c r="E683" s="80"/>
      <c r="F683" s="80"/>
      <c r="G683" s="80"/>
    </row>
    <row r="684">
      <c r="A684" s="106"/>
      <c r="B684" s="80"/>
      <c r="C684" s="80"/>
      <c r="D684" s="80"/>
      <c r="E684" s="80"/>
      <c r="F684" s="80"/>
      <c r="G684" s="80"/>
    </row>
    <row r="685">
      <c r="A685" s="106"/>
      <c r="B685" s="80"/>
      <c r="C685" s="80"/>
      <c r="D685" s="80"/>
      <c r="E685" s="80"/>
      <c r="F685" s="80"/>
      <c r="G685" s="80"/>
    </row>
    <row r="686">
      <c r="A686" s="106"/>
      <c r="B686" s="80"/>
      <c r="C686" s="80"/>
      <c r="D686" s="80"/>
      <c r="E686" s="80"/>
      <c r="F686" s="80"/>
      <c r="G686" s="80"/>
    </row>
    <row r="687">
      <c r="A687" s="106"/>
      <c r="B687" s="80"/>
      <c r="C687" s="80"/>
      <c r="D687" s="80"/>
      <c r="E687" s="80"/>
      <c r="F687" s="80"/>
      <c r="G687" s="80"/>
    </row>
    <row r="688">
      <c r="A688" s="106"/>
      <c r="B688" s="80"/>
      <c r="C688" s="80"/>
      <c r="D688" s="80"/>
      <c r="E688" s="80"/>
      <c r="F688" s="80"/>
      <c r="G688" s="80"/>
    </row>
    <row r="689">
      <c r="A689" s="106"/>
      <c r="B689" s="80"/>
      <c r="C689" s="80"/>
      <c r="D689" s="80"/>
      <c r="E689" s="80"/>
      <c r="F689" s="80"/>
      <c r="G689" s="80"/>
    </row>
    <row r="690">
      <c r="A690" s="106"/>
      <c r="B690" s="80"/>
      <c r="C690" s="80"/>
      <c r="D690" s="80"/>
      <c r="E690" s="80"/>
      <c r="F690" s="80"/>
      <c r="G690" s="80"/>
    </row>
    <row r="691">
      <c r="A691" s="106"/>
      <c r="B691" s="80"/>
      <c r="C691" s="80"/>
      <c r="D691" s="80"/>
      <c r="E691" s="80"/>
      <c r="F691" s="80"/>
      <c r="G691" s="80"/>
    </row>
    <row r="692">
      <c r="A692" s="106"/>
      <c r="B692" s="80"/>
      <c r="C692" s="80"/>
      <c r="D692" s="80"/>
      <c r="E692" s="80"/>
      <c r="F692" s="80"/>
      <c r="G692" s="80"/>
    </row>
    <row r="693">
      <c r="A693" s="106"/>
      <c r="B693" s="80"/>
      <c r="C693" s="80"/>
      <c r="D693" s="80"/>
      <c r="E693" s="80"/>
      <c r="F693" s="80"/>
      <c r="G693" s="80"/>
    </row>
    <row r="694">
      <c r="A694" s="106"/>
      <c r="B694" s="80"/>
      <c r="C694" s="80"/>
      <c r="D694" s="80"/>
      <c r="E694" s="80"/>
      <c r="F694" s="80"/>
      <c r="G694" s="80"/>
    </row>
    <row r="695">
      <c r="A695" s="106"/>
      <c r="B695" s="80"/>
      <c r="C695" s="80"/>
      <c r="D695" s="80"/>
      <c r="E695" s="80"/>
      <c r="F695" s="80"/>
      <c r="G695" s="80"/>
    </row>
    <row r="696">
      <c r="A696" s="106"/>
      <c r="B696" s="80"/>
      <c r="C696" s="80"/>
      <c r="D696" s="80"/>
      <c r="E696" s="80"/>
      <c r="F696" s="80"/>
      <c r="G696" s="80"/>
    </row>
    <row r="697">
      <c r="A697" s="106"/>
      <c r="B697" s="80"/>
      <c r="C697" s="80"/>
      <c r="D697" s="80"/>
      <c r="E697" s="80"/>
      <c r="F697" s="80"/>
      <c r="G697" s="80"/>
    </row>
    <row r="698">
      <c r="A698" s="106"/>
      <c r="B698" s="80"/>
      <c r="C698" s="80"/>
      <c r="D698" s="80"/>
      <c r="E698" s="80"/>
      <c r="F698" s="80"/>
      <c r="G698" s="80"/>
    </row>
    <row r="699">
      <c r="A699" s="106"/>
      <c r="B699" s="80"/>
      <c r="C699" s="80"/>
      <c r="D699" s="80"/>
      <c r="E699" s="80"/>
      <c r="F699" s="80"/>
      <c r="G699" s="80"/>
    </row>
    <row r="700">
      <c r="A700" s="106"/>
      <c r="B700" s="80"/>
      <c r="C700" s="80"/>
      <c r="D700" s="80"/>
      <c r="E700" s="80"/>
      <c r="F700" s="80"/>
      <c r="G700" s="80"/>
    </row>
    <row r="701">
      <c r="A701" s="106"/>
      <c r="B701" s="80"/>
      <c r="C701" s="80"/>
      <c r="D701" s="80"/>
      <c r="E701" s="80"/>
      <c r="F701" s="80"/>
      <c r="G701" s="80"/>
    </row>
    <row r="702">
      <c r="A702" s="106"/>
      <c r="B702" s="80"/>
      <c r="C702" s="80"/>
      <c r="D702" s="80"/>
      <c r="E702" s="80"/>
      <c r="F702" s="80"/>
      <c r="G702" s="80"/>
    </row>
    <row r="703">
      <c r="A703" s="106"/>
      <c r="B703" s="80"/>
      <c r="C703" s="80"/>
      <c r="D703" s="80"/>
      <c r="E703" s="80"/>
      <c r="F703" s="80"/>
      <c r="G703" s="80"/>
    </row>
    <row r="704">
      <c r="A704" s="106"/>
      <c r="B704" s="80"/>
      <c r="C704" s="80"/>
      <c r="D704" s="80"/>
      <c r="E704" s="80"/>
      <c r="F704" s="80"/>
      <c r="G704" s="80"/>
    </row>
    <row r="705">
      <c r="A705" s="106"/>
      <c r="B705" s="80"/>
      <c r="C705" s="80"/>
      <c r="D705" s="80"/>
      <c r="E705" s="80"/>
      <c r="F705" s="80"/>
      <c r="G705" s="80"/>
    </row>
    <row r="706">
      <c r="A706" s="106"/>
      <c r="B706" s="80"/>
      <c r="C706" s="80"/>
      <c r="D706" s="80"/>
      <c r="E706" s="80"/>
      <c r="F706" s="80"/>
      <c r="G706" s="80"/>
    </row>
    <row r="707">
      <c r="A707" s="106"/>
      <c r="B707" s="80"/>
      <c r="C707" s="80"/>
      <c r="D707" s="80"/>
      <c r="E707" s="80"/>
      <c r="F707" s="80"/>
      <c r="G707" s="80"/>
    </row>
    <row r="708">
      <c r="A708" s="106"/>
      <c r="B708" s="80"/>
      <c r="C708" s="80"/>
      <c r="D708" s="80"/>
      <c r="E708" s="80"/>
      <c r="F708" s="80"/>
      <c r="G708" s="80"/>
    </row>
    <row r="709">
      <c r="A709" s="106"/>
      <c r="B709" s="80"/>
      <c r="C709" s="80"/>
      <c r="D709" s="80"/>
      <c r="E709" s="80"/>
      <c r="F709" s="80"/>
      <c r="G709" s="80"/>
    </row>
    <row r="710">
      <c r="A710" s="106"/>
      <c r="B710" s="80"/>
      <c r="C710" s="80"/>
      <c r="D710" s="80"/>
      <c r="E710" s="80"/>
      <c r="F710" s="80"/>
      <c r="G710" s="80"/>
    </row>
    <row r="711">
      <c r="A711" s="106"/>
      <c r="B711" s="80"/>
      <c r="C711" s="80"/>
      <c r="D711" s="80"/>
      <c r="E711" s="80"/>
      <c r="F711" s="80"/>
      <c r="G711" s="80"/>
    </row>
    <row r="712">
      <c r="A712" s="106"/>
      <c r="B712" s="80"/>
      <c r="C712" s="80"/>
      <c r="D712" s="80"/>
      <c r="E712" s="80"/>
      <c r="F712" s="80"/>
      <c r="G712" s="80"/>
    </row>
    <row r="713">
      <c r="A713" s="106"/>
      <c r="B713" s="80"/>
      <c r="C713" s="80"/>
      <c r="D713" s="80"/>
      <c r="E713" s="80"/>
      <c r="F713" s="80"/>
      <c r="G713" s="80"/>
    </row>
    <row r="714">
      <c r="A714" s="106"/>
      <c r="B714" s="80"/>
      <c r="C714" s="80"/>
      <c r="D714" s="80"/>
      <c r="E714" s="80"/>
      <c r="F714" s="80"/>
      <c r="G714" s="80"/>
    </row>
    <row r="715">
      <c r="A715" s="106"/>
      <c r="B715" s="80"/>
      <c r="C715" s="80"/>
      <c r="D715" s="80"/>
      <c r="E715" s="80"/>
      <c r="F715" s="80"/>
      <c r="G715" s="80"/>
    </row>
    <row r="716">
      <c r="A716" s="106"/>
      <c r="B716" s="80"/>
      <c r="C716" s="80"/>
      <c r="D716" s="80"/>
      <c r="E716" s="80"/>
      <c r="F716" s="80"/>
      <c r="G716" s="80"/>
    </row>
    <row r="717">
      <c r="A717" s="106"/>
      <c r="B717" s="80"/>
      <c r="C717" s="80"/>
      <c r="D717" s="80"/>
      <c r="E717" s="80"/>
      <c r="F717" s="80"/>
      <c r="G717" s="80"/>
    </row>
    <row r="718">
      <c r="A718" s="106"/>
      <c r="B718" s="80"/>
      <c r="C718" s="80"/>
      <c r="D718" s="80"/>
      <c r="E718" s="80"/>
      <c r="F718" s="80"/>
      <c r="G718" s="80"/>
    </row>
    <row r="719">
      <c r="A719" s="106"/>
      <c r="B719" s="80"/>
      <c r="C719" s="80"/>
      <c r="D719" s="80"/>
      <c r="E719" s="80"/>
      <c r="F719" s="80"/>
      <c r="G719" s="80"/>
    </row>
    <row r="720">
      <c r="A720" s="106"/>
      <c r="B720" s="80"/>
      <c r="C720" s="80"/>
      <c r="D720" s="80"/>
      <c r="E720" s="80"/>
      <c r="F720" s="80"/>
      <c r="G720" s="80"/>
    </row>
    <row r="721">
      <c r="A721" s="106"/>
      <c r="B721" s="80"/>
      <c r="C721" s="80"/>
      <c r="D721" s="80"/>
      <c r="E721" s="80"/>
      <c r="F721" s="80"/>
      <c r="G721" s="80"/>
    </row>
    <row r="722">
      <c r="A722" s="106"/>
      <c r="B722" s="80"/>
      <c r="C722" s="80"/>
      <c r="D722" s="80"/>
      <c r="E722" s="80"/>
      <c r="F722" s="80"/>
      <c r="G722" s="80"/>
    </row>
    <row r="723">
      <c r="A723" s="106"/>
      <c r="B723" s="80"/>
      <c r="C723" s="80"/>
      <c r="D723" s="80"/>
      <c r="E723" s="80"/>
      <c r="F723" s="80"/>
      <c r="G723" s="80"/>
    </row>
    <row r="724">
      <c r="A724" s="106"/>
      <c r="B724" s="80"/>
      <c r="C724" s="80"/>
      <c r="D724" s="80"/>
      <c r="E724" s="80"/>
      <c r="F724" s="80"/>
      <c r="G724" s="80"/>
    </row>
    <row r="725">
      <c r="A725" s="106"/>
      <c r="B725" s="80"/>
      <c r="C725" s="80"/>
      <c r="D725" s="80"/>
      <c r="E725" s="80"/>
      <c r="F725" s="80"/>
      <c r="G725" s="80"/>
    </row>
    <row r="726">
      <c r="A726" s="106"/>
      <c r="B726" s="80"/>
      <c r="C726" s="80"/>
      <c r="D726" s="80"/>
      <c r="E726" s="80"/>
      <c r="F726" s="80"/>
      <c r="G726" s="80"/>
    </row>
    <row r="727">
      <c r="A727" s="106"/>
      <c r="B727" s="80"/>
      <c r="C727" s="80"/>
      <c r="D727" s="80"/>
      <c r="E727" s="80"/>
      <c r="F727" s="80"/>
      <c r="G727" s="80"/>
    </row>
    <row r="728">
      <c r="A728" s="106"/>
      <c r="B728" s="80"/>
      <c r="C728" s="80"/>
      <c r="D728" s="80"/>
      <c r="E728" s="80"/>
      <c r="F728" s="80"/>
      <c r="G728" s="80"/>
    </row>
    <row r="729">
      <c r="A729" s="106"/>
      <c r="B729" s="80"/>
      <c r="C729" s="80"/>
      <c r="D729" s="80"/>
      <c r="E729" s="80"/>
      <c r="F729" s="80"/>
      <c r="G729" s="80"/>
    </row>
    <row r="730">
      <c r="A730" s="106"/>
      <c r="B730" s="80"/>
      <c r="C730" s="80"/>
      <c r="D730" s="80"/>
      <c r="E730" s="80"/>
      <c r="F730" s="80"/>
      <c r="G730" s="80"/>
    </row>
    <row r="731">
      <c r="A731" s="106"/>
      <c r="B731" s="80"/>
      <c r="C731" s="80"/>
      <c r="D731" s="80"/>
      <c r="E731" s="80"/>
      <c r="F731" s="80"/>
      <c r="G731" s="80"/>
    </row>
    <row r="732">
      <c r="A732" s="106"/>
      <c r="B732" s="80"/>
      <c r="C732" s="80"/>
      <c r="D732" s="80"/>
      <c r="E732" s="80"/>
      <c r="F732" s="80"/>
      <c r="G732" s="80"/>
    </row>
    <row r="733">
      <c r="A733" s="106"/>
      <c r="B733" s="80"/>
      <c r="C733" s="80"/>
      <c r="D733" s="80"/>
      <c r="E733" s="80"/>
      <c r="F733" s="80"/>
      <c r="G733" s="80"/>
    </row>
    <row r="734">
      <c r="A734" s="106"/>
      <c r="B734" s="80"/>
      <c r="C734" s="80"/>
      <c r="D734" s="80"/>
      <c r="E734" s="80"/>
      <c r="F734" s="80"/>
      <c r="G734" s="80"/>
    </row>
    <row r="735">
      <c r="A735" s="106"/>
      <c r="B735" s="80"/>
      <c r="C735" s="80"/>
      <c r="D735" s="80"/>
      <c r="E735" s="80"/>
      <c r="F735" s="80"/>
      <c r="G735" s="80"/>
    </row>
    <row r="736">
      <c r="A736" s="106"/>
      <c r="B736" s="80"/>
      <c r="C736" s="80"/>
      <c r="D736" s="80"/>
      <c r="E736" s="80"/>
      <c r="F736" s="80"/>
      <c r="G736" s="80"/>
    </row>
    <row r="737">
      <c r="A737" s="106"/>
      <c r="B737" s="80"/>
      <c r="C737" s="80"/>
      <c r="D737" s="80"/>
      <c r="E737" s="80"/>
      <c r="F737" s="80"/>
      <c r="G737" s="80"/>
    </row>
    <row r="738">
      <c r="A738" s="106"/>
      <c r="B738" s="80"/>
      <c r="C738" s="80"/>
      <c r="D738" s="80"/>
      <c r="E738" s="80"/>
      <c r="F738" s="80"/>
      <c r="G738" s="80"/>
    </row>
    <row r="739">
      <c r="A739" s="106"/>
      <c r="B739" s="80"/>
      <c r="C739" s="80"/>
      <c r="D739" s="80"/>
      <c r="E739" s="80"/>
      <c r="F739" s="80"/>
      <c r="G739" s="80"/>
    </row>
    <row r="740">
      <c r="A740" s="106"/>
      <c r="B740" s="80"/>
      <c r="C740" s="80"/>
      <c r="D740" s="80"/>
      <c r="E740" s="80"/>
      <c r="F740" s="80"/>
      <c r="G740" s="80"/>
    </row>
    <row r="741">
      <c r="A741" s="106"/>
      <c r="B741" s="80"/>
      <c r="C741" s="80"/>
      <c r="D741" s="80"/>
      <c r="E741" s="80"/>
      <c r="F741" s="80"/>
      <c r="G741" s="80"/>
    </row>
    <row r="742">
      <c r="A742" s="106"/>
      <c r="B742" s="80"/>
      <c r="C742" s="80"/>
      <c r="D742" s="80"/>
      <c r="E742" s="80"/>
      <c r="F742" s="80"/>
      <c r="G742" s="80"/>
    </row>
    <row r="743">
      <c r="A743" s="106"/>
      <c r="B743" s="80"/>
      <c r="C743" s="80"/>
      <c r="D743" s="80"/>
      <c r="E743" s="80"/>
      <c r="F743" s="80"/>
      <c r="G743" s="80"/>
    </row>
    <row r="744">
      <c r="A744" s="106"/>
      <c r="B744" s="80"/>
      <c r="C744" s="80"/>
      <c r="D744" s="80"/>
      <c r="E744" s="80"/>
      <c r="F744" s="80"/>
      <c r="G744" s="80"/>
    </row>
    <row r="745">
      <c r="A745" s="106"/>
      <c r="B745" s="80"/>
      <c r="C745" s="80"/>
      <c r="D745" s="80"/>
      <c r="E745" s="80"/>
      <c r="F745" s="80"/>
      <c r="G745" s="80"/>
    </row>
    <row r="746">
      <c r="A746" s="106"/>
      <c r="B746" s="80"/>
      <c r="C746" s="80"/>
      <c r="D746" s="80"/>
      <c r="E746" s="80"/>
      <c r="F746" s="80"/>
      <c r="G746" s="80"/>
    </row>
    <row r="747">
      <c r="A747" s="106"/>
      <c r="B747" s="80"/>
      <c r="C747" s="80"/>
      <c r="D747" s="80"/>
      <c r="E747" s="80"/>
      <c r="F747" s="80"/>
      <c r="G747" s="80"/>
    </row>
    <row r="748">
      <c r="A748" s="106"/>
      <c r="B748" s="80"/>
      <c r="C748" s="80"/>
      <c r="D748" s="80"/>
      <c r="E748" s="80"/>
      <c r="F748" s="80"/>
      <c r="G748" s="80"/>
    </row>
    <row r="749">
      <c r="A749" s="106"/>
      <c r="B749" s="80"/>
      <c r="C749" s="80"/>
      <c r="D749" s="80"/>
      <c r="E749" s="80"/>
      <c r="F749" s="80"/>
      <c r="G749" s="80"/>
    </row>
    <row r="750">
      <c r="A750" s="106"/>
      <c r="B750" s="80"/>
      <c r="C750" s="80"/>
      <c r="D750" s="80"/>
      <c r="E750" s="80"/>
      <c r="F750" s="80"/>
      <c r="G750" s="80"/>
    </row>
    <row r="751">
      <c r="A751" s="106"/>
      <c r="B751" s="80"/>
      <c r="C751" s="80"/>
      <c r="D751" s="80"/>
      <c r="E751" s="80"/>
      <c r="F751" s="80"/>
      <c r="G751" s="80"/>
    </row>
    <row r="752">
      <c r="A752" s="106"/>
      <c r="B752" s="80"/>
      <c r="C752" s="80"/>
      <c r="D752" s="80"/>
      <c r="E752" s="80"/>
      <c r="F752" s="80"/>
      <c r="G752" s="80"/>
    </row>
    <row r="753">
      <c r="A753" s="106"/>
      <c r="B753" s="80"/>
      <c r="C753" s="80"/>
      <c r="D753" s="80"/>
      <c r="E753" s="80"/>
      <c r="F753" s="80"/>
      <c r="G753" s="80"/>
    </row>
    <row r="754">
      <c r="A754" s="106"/>
      <c r="B754" s="80"/>
      <c r="C754" s="80"/>
      <c r="D754" s="80"/>
      <c r="E754" s="80"/>
      <c r="F754" s="80"/>
      <c r="G754" s="80"/>
    </row>
    <row r="755">
      <c r="A755" s="106"/>
      <c r="B755" s="80"/>
      <c r="C755" s="80"/>
      <c r="D755" s="80"/>
      <c r="E755" s="80"/>
      <c r="F755" s="80"/>
      <c r="G755" s="80"/>
    </row>
    <row r="756">
      <c r="A756" s="106"/>
      <c r="B756" s="80"/>
      <c r="C756" s="80"/>
      <c r="D756" s="80"/>
      <c r="E756" s="80"/>
      <c r="F756" s="80"/>
      <c r="G756" s="80"/>
    </row>
    <row r="757">
      <c r="A757" s="106"/>
      <c r="B757" s="80"/>
      <c r="C757" s="80"/>
      <c r="D757" s="80"/>
      <c r="E757" s="80"/>
      <c r="F757" s="80"/>
      <c r="G757" s="80"/>
    </row>
    <row r="758">
      <c r="A758" s="106"/>
      <c r="B758" s="80"/>
      <c r="C758" s="80"/>
      <c r="D758" s="80"/>
      <c r="E758" s="80"/>
      <c r="F758" s="80"/>
      <c r="G758" s="80"/>
    </row>
    <row r="759">
      <c r="A759" s="106"/>
      <c r="B759" s="80"/>
      <c r="C759" s="80"/>
      <c r="D759" s="80"/>
      <c r="E759" s="80"/>
      <c r="F759" s="80"/>
      <c r="G759" s="80"/>
    </row>
    <row r="760">
      <c r="A760" s="106"/>
      <c r="B760" s="80"/>
      <c r="C760" s="80"/>
      <c r="D760" s="80"/>
      <c r="E760" s="80"/>
      <c r="F760" s="80"/>
      <c r="G760" s="80"/>
    </row>
    <row r="761">
      <c r="A761" s="106"/>
      <c r="B761" s="80"/>
      <c r="C761" s="80"/>
      <c r="D761" s="80"/>
      <c r="E761" s="80"/>
      <c r="F761" s="80"/>
      <c r="G761" s="80"/>
    </row>
    <row r="762">
      <c r="A762" s="106"/>
      <c r="B762" s="80"/>
      <c r="C762" s="80"/>
      <c r="D762" s="80"/>
      <c r="E762" s="80"/>
      <c r="F762" s="80"/>
      <c r="G762" s="80"/>
    </row>
    <row r="763">
      <c r="A763" s="106"/>
      <c r="B763" s="80"/>
      <c r="C763" s="80"/>
      <c r="D763" s="80"/>
      <c r="E763" s="80"/>
      <c r="F763" s="80"/>
      <c r="G763" s="80"/>
    </row>
    <row r="764">
      <c r="A764" s="106"/>
      <c r="B764" s="80"/>
      <c r="C764" s="80"/>
      <c r="D764" s="80"/>
      <c r="E764" s="80"/>
      <c r="F764" s="80"/>
      <c r="G764" s="80"/>
    </row>
    <row r="765">
      <c r="A765" s="106"/>
      <c r="B765" s="80"/>
      <c r="C765" s="80"/>
      <c r="D765" s="80"/>
      <c r="E765" s="80"/>
      <c r="F765" s="80"/>
      <c r="G765" s="80"/>
    </row>
    <row r="766">
      <c r="A766" s="106"/>
      <c r="B766" s="80"/>
      <c r="C766" s="80"/>
      <c r="D766" s="80"/>
      <c r="E766" s="80"/>
      <c r="F766" s="80"/>
      <c r="G766" s="80"/>
    </row>
    <row r="767">
      <c r="A767" s="106"/>
      <c r="B767" s="80"/>
      <c r="C767" s="80"/>
      <c r="D767" s="80"/>
      <c r="E767" s="80"/>
      <c r="F767" s="80"/>
      <c r="G767" s="80"/>
    </row>
    <row r="768">
      <c r="A768" s="106"/>
      <c r="B768" s="80"/>
      <c r="C768" s="80"/>
      <c r="D768" s="80"/>
      <c r="E768" s="80"/>
      <c r="F768" s="80"/>
      <c r="G768" s="80"/>
    </row>
    <row r="769">
      <c r="A769" s="106"/>
      <c r="B769" s="80"/>
      <c r="C769" s="80"/>
      <c r="D769" s="80"/>
      <c r="E769" s="80"/>
      <c r="F769" s="80"/>
      <c r="G769" s="80"/>
    </row>
    <row r="770">
      <c r="A770" s="106"/>
      <c r="B770" s="80"/>
      <c r="C770" s="80"/>
      <c r="D770" s="80"/>
      <c r="E770" s="80"/>
      <c r="F770" s="80"/>
      <c r="G770" s="80"/>
    </row>
    <row r="771">
      <c r="A771" s="106"/>
      <c r="B771" s="80"/>
      <c r="C771" s="80"/>
      <c r="D771" s="80"/>
      <c r="E771" s="80"/>
      <c r="F771" s="80"/>
      <c r="G771" s="80"/>
    </row>
    <row r="772">
      <c r="A772" s="106"/>
      <c r="B772" s="80"/>
      <c r="C772" s="80"/>
      <c r="D772" s="80"/>
      <c r="E772" s="80"/>
      <c r="F772" s="80"/>
      <c r="G772" s="80"/>
    </row>
    <row r="773">
      <c r="A773" s="106"/>
      <c r="B773" s="80"/>
      <c r="C773" s="80"/>
      <c r="D773" s="80"/>
      <c r="E773" s="80"/>
      <c r="F773" s="80"/>
      <c r="G773" s="80"/>
    </row>
    <row r="774">
      <c r="A774" s="106"/>
      <c r="B774" s="80"/>
      <c r="C774" s="80"/>
      <c r="D774" s="80"/>
      <c r="E774" s="80"/>
      <c r="F774" s="80"/>
      <c r="G774" s="80"/>
    </row>
    <row r="775">
      <c r="A775" s="106"/>
      <c r="B775" s="80"/>
      <c r="C775" s="80"/>
      <c r="D775" s="80"/>
      <c r="E775" s="80"/>
      <c r="F775" s="80"/>
      <c r="G775" s="80"/>
    </row>
    <row r="776">
      <c r="A776" s="106"/>
      <c r="B776" s="80"/>
      <c r="C776" s="80"/>
      <c r="D776" s="80"/>
      <c r="E776" s="80"/>
      <c r="F776" s="80"/>
      <c r="G776" s="80"/>
    </row>
    <row r="777">
      <c r="A777" s="106"/>
      <c r="B777" s="80"/>
      <c r="C777" s="80"/>
      <c r="D777" s="80"/>
      <c r="E777" s="80"/>
      <c r="F777" s="80"/>
      <c r="G777" s="80"/>
    </row>
    <row r="778">
      <c r="A778" s="106"/>
      <c r="B778" s="80"/>
      <c r="C778" s="80"/>
      <c r="D778" s="80"/>
      <c r="E778" s="80"/>
      <c r="F778" s="80"/>
      <c r="G778" s="80"/>
    </row>
    <row r="779">
      <c r="A779" s="106"/>
      <c r="B779" s="80"/>
      <c r="C779" s="80"/>
      <c r="D779" s="80"/>
      <c r="E779" s="80"/>
      <c r="F779" s="80"/>
      <c r="G779" s="80"/>
    </row>
    <row r="780">
      <c r="A780" s="106"/>
      <c r="B780" s="80"/>
      <c r="C780" s="80"/>
      <c r="D780" s="80"/>
      <c r="E780" s="80"/>
      <c r="F780" s="80"/>
      <c r="G780" s="80"/>
    </row>
    <row r="781">
      <c r="A781" s="106"/>
      <c r="B781" s="80"/>
      <c r="C781" s="80"/>
      <c r="D781" s="80"/>
      <c r="E781" s="80"/>
      <c r="F781" s="80"/>
      <c r="G781" s="80"/>
    </row>
    <row r="782">
      <c r="A782" s="106"/>
      <c r="B782" s="80"/>
      <c r="C782" s="80"/>
      <c r="D782" s="80"/>
      <c r="E782" s="80"/>
      <c r="F782" s="80"/>
      <c r="G782" s="80"/>
    </row>
    <row r="783">
      <c r="A783" s="106"/>
      <c r="B783" s="80"/>
      <c r="C783" s="80"/>
      <c r="D783" s="80"/>
      <c r="E783" s="80"/>
      <c r="F783" s="80"/>
      <c r="G783" s="80"/>
    </row>
    <row r="784">
      <c r="A784" s="106"/>
      <c r="B784" s="80"/>
      <c r="C784" s="80"/>
      <c r="D784" s="80"/>
      <c r="E784" s="80"/>
      <c r="F784" s="80"/>
      <c r="G784" s="80"/>
    </row>
    <row r="785">
      <c r="A785" s="106"/>
      <c r="B785" s="80"/>
      <c r="C785" s="80"/>
      <c r="D785" s="80"/>
      <c r="E785" s="80"/>
      <c r="F785" s="80"/>
      <c r="G785" s="80"/>
    </row>
    <row r="786">
      <c r="A786" s="106"/>
      <c r="B786" s="80"/>
      <c r="C786" s="80"/>
      <c r="D786" s="80"/>
      <c r="E786" s="80"/>
      <c r="F786" s="80"/>
      <c r="G786" s="80"/>
    </row>
    <row r="787">
      <c r="A787" s="106"/>
      <c r="B787" s="80"/>
      <c r="C787" s="80"/>
      <c r="D787" s="80"/>
      <c r="E787" s="80"/>
      <c r="F787" s="80"/>
      <c r="G787" s="80"/>
    </row>
    <row r="788">
      <c r="A788" s="106"/>
      <c r="B788" s="80"/>
      <c r="C788" s="80"/>
      <c r="D788" s="80"/>
      <c r="E788" s="80"/>
      <c r="F788" s="80"/>
      <c r="G788" s="80"/>
    </row>
    <row r="789">
      <c r="A789" s="106"/>
      <c r="B789" s="80"/>
      <c r="C789" s="80"/>
      <c r="D789" s="80"/>
      <c r="E789" s="80"/>
      <c r="F789" s="80"/>
      <c r="G789" s="80"/>
    </row>
    <row r="790">
      <c r="A790" s="106"/>
      <c r="B790" s="80"/>
      <c r="C790" s="80"/>
      <c r="D790" s="80"/>
      <c r="E790" s="80"/>
      <c r="F790" s="80"/>
      <c r="G790" s="80"/>
    </row>
    <row r="791">
      <c r="A791" s="106"/>
      <c r="B791" s="80"/>
      <c r="C791" s="80"/>
      <c r="D791" s="80"/>
      <c r="E791" s="80"/>
      <c r="F791" s="80"/>
      <c r="G791" s="80"/>
    </row>
    <row r="792">
      <c r="A792" s="106"/>
      <c r="B792" s="80"/>
      <c r="C792" s="80"/>
      <c r="D792" s="80"/>
      <c r="E792" s="80"/>
      <c r="F792" s="80"/>
      <c r="G792" s="80"/>
    </row>
    <row r="793">
      <c r="A793" s="106"/>
      <c r="B793" s="80"/>
      <c r="C793" s="80"/>
      <c r="D793" s="80"/>
      <c r="E793" s="80"/>
      <c r="F793" s="80"/>
      <c r="G793" s="80"/>
    </row>
    <row r="794">
      <c r="A794" s="106"/>
      <c r="B794" s="80"/>
      <c r="C794" s="80"/>
      <c r="D794" s="80"/>
      <c r="E794" s="80"/>
      <c r="F794" s="80"/>
      <c r="G794" s="80"/>
    </row>
    <row r="795">
      <c r="A795" s="106"/>
      <c r="B795" s="80"/>
      <c r="C795" s="80"/>
      <c r="D795" s="80"/>
      <c r="E795" s="80"/>
      <c r="F795" s="80"/>
      <c r="G795" s="80"/>
    </row>
    <row r="796">
      <c r="A796" s="106"/>
      <c r="B796" s="80"/>
      <c r="C796" s="80"/>
      <c r="D796" s="80"/>
      <c r="E796" s="80"/>
      <c r="F796" s="80"/>
      <c r="G796" s="80"/>
    </row>
    <row r="797">
      <c r="A797" s="106"/>
      <c r="B797" s="80"/>
      <c r="C797" s="80"/>
      <c r="D797" s="80"/>
      <c r="E797" s="80"/>
      <c r="F797" s="80"/>
      <c r="G797" s="80"/>
    </row>
    <row r="798">
      <c r="A798" s="106"/>
      <c r="B798" s="80"/>
      <c r="C798" s="80"/>
      <c r="D798" s="80"/>
      <c r="E798" s="80"/>
      <c r="F798" s="80"/>
      <c r="G798" s="80"/>
    </row>
    <row r="799">
      <c r="A799" s="106"/>
      <c r="B799" s="80"/>
      <c r="C799" s="80"/>
      <c r="D799" s="80"/>
      <c r="E799" s="80"/>
      <c r="F799" s="80"/>
      <c r="G799" s="80"/>
    </row>
    <row r="800">
      <c r="A800" s="106"/>
      <c r="B800" s="80"/>
      <c r="C800" s="80"/>
      <c r="D800" s="80"/>
      <c r="E800" s="80"/>
      <c r="F800" s="80"/>
      <c r="G800" s="80"/>
    </row>
    <row r="801">
      <c r="A801" s="106"/>
      <c r="B801" s="80"/>
      <c r="C801" s="80"/>
      <c r="D801" s="80"/>
      <c r="E801" s="80"/>
      <c r="F801" s="80"/>
      <c r="G801" s="80"/>
    </row>
    <row r="802">
      <c r="A802" s="106"/>
      <c r="B802" s="80"/>
      <c r="C802" s="80"/>
      <c r="D802" s="80"/>
      <c r="E802" s="80"/>
      <c r="F802" s="80"/>
      <c r="G802" s="80"/>
    </row>
    <row r="803">
      <c r="A803" s="106"/>
      <c r="B803" s="80"/>
      <c r="C803" s="80"/>
      <c r="D803" s="80"/>
      <c r="E803" s="80"/>
      <c r="F803" s="80"/>
      <c r="G803" s="80"/>
    </row>
    <row r="804">
      <c r="A804" s="106"/>
      <c r="B804" s="80"/>
      <c r="C804" s="80"/>
      <c r="D804" s="80"/>
      <c r="E804" s="80"/>
      <c r="F804" s="80"/>
      <c r="G804" s="80"/>
    </row>
    <row r="805">
      <c r="A805" s="106"/>
      <c r="B805" s="80"/>
      <c r="C805" s="80"/>
      <c r="D805" s="80"/>
      <c r="E805" s="80"/>
      <c r="F805" s="80"/>
      <c r="G805" s="80"/>
    </row>
    <row r="806">
      <c r="A806" s="106"/>
      <c r="B806" s="80"/>
      <c r="C806" s="80"/>
      <c r="D806" s="80"/>
      <c r="E806" s="80"/>
      <c r="F806" s="80"/>
      <c r="G806" s="80"/>
    </row>
    <row r="807">
      <c r="A807" s="106"/>
      <c r="B807" s="80"/>
      <c r="C807" s="80"/>
      <c r="D807" s="80"/>
      <c r="E807" s="80"/>
      <c r="F807" s="80"/>
      <c r="G807" s="80"/>
    </row>
    <row r="808">
      <c r="A808" s="106"/>
      <c r="B808" s="80"/>
      <c r="C808" s="80"/>
      <c r="D808" s="80"/>
      <c r="E808" s="80"/>
      <c r="F808" s="80"/>
      <c r="G808" s="80"/>
    </row>
    <row r="809">
      <c r="A809" s="106"/>
      <c r="B809" s="80"/>
      <c r="C809" s="80"/>
      <c r="D809" s="80"/>
      <c r="E809" s="80"/>
      <c r="F809" s="80"/>
      <c r="G809" s="80"/>
    </row>
    <row r="810">
      <c r="A810" s="106"/>
      <c r="B810" s="80"/>
      <c r="C810" s="80"/>
      <c r="D810" s="80"/>
      <c r="E810" s="80"/>
      <c r="F810" s="80"/>
      <c r="G810" s="80"/>
    </row>
    <row r="811">
      <c r="A811" s="106"/>
      <c r="B811" s="80"/>
      <c r="C811" s="80"/>
      <c r="D811" s="80"/>
      <c r="E811" s="80"/>
      <c r="F811" s="80"/>
      <c r="G811" s="80"/>
    </row>
    <row r="812">
      <c r="A812" s="106"/>
      <c r="B812" s="80"/>
      <c r="C812" s="80"/>
      <c r="D812" s="80"/>
      <c r="E812" s="80"/>
      <c r="F812" s="80"/>
      <c r="G812" s="80"/>
    </row>
    <row r="813">
      <c r="A813" s="106"/>
      <c r="B813" s="80"/>
      <c r="C813" s="80"/>
      <c r="D813" s="80"/>
      <c r="E813" s="80"/>
      <c r="F813" s="80"/>
      <c r="G813" s="80"/>
    </row>
    <row r="814">
      <c r="A814" s="106"/>
      <c r="B814" s="80"/>
      <c r="C814" s="80"/>
      <c r="D814" s="80"/>
      <c r="E814" s="80"/>
      <c r="F814" s="80"/>
      <c r="G814" s="80"/>
    </row>
    <row r="815">
      <c r="A815" s="106"/>
      <c r="B815" s="80"/>
      <c r="C815" s="80"/>
      <c r="D815" s="80"/>
      <c r="E815" s="80"/>
      <c r="F815" s="80"/>
      <c r="G815" s="80"/>
    </row>
    <row r="816">
      <c r="A816" s="106"/>
      <c r="B816" s="80"/>
      <c r="C816" s="80"/>
      <c r="D816" s="80"/>
      <c r="E816" s="80"/>
      <c r="F816" s="80"/>
      <c r="G816" s="80"/>
    </row>
    <row r="817">
      <c r="A817" s="106"/>
      <c r="B817" s="80"/>
      <c r="C817" s="80"/>
      <c r="D817" s="80"/>
      <c r="E817" s="80"/>
      <c r="F817" s="80"/>
      <c r="G817" s="80"/>
    </row>
    <row r="818">
      <c r="A818" s="106"/>
      <c r="B818" s="80"/>
      <c r="C818" s="80"/>
      <c r="D818" s="80"/>
      <c r="E818" s="80"/>
      <c r="F818" s="80"/>
      <c r="G818" s="80"/>
    </row>
    <row r="819">
      <c r="A819" s="106"/>
      <c r="B819" s="80"/>
      <c r="C819" s="80"/>
      <c r="D819" s="80"/>
      <c r="E819" s="80"/>
      <c r="F819" s="80"/>
      <c r="G819" s="80"/>
    </row>
    <row r="820">
      <c r="A820" s="106"/>
      <c r="B820" s="80"/>
      <c r="C820" s="80"/>
      <c r="D820" s="80"/>
      <c r="E820" s="80"/>
      <c r="F820" s="80"/>
      <c r="G820" s="80"/>
    </row>
    <row r="821">
      <c r="A821" s="106"/>
      <c r="B821" s="80"/>
      <c r="C821" s="80"/>
      <c r="D821" s="80"/>
      <c r="E821" s="80"/>
      <c r="F821" s="80"/>
      <c r="G821" s="80"/>
    </row>
    <row r="822">
      <c r="A822" s="106"/>
      <c r="B822" s="80"/>
      <c r="C822" s="80"/>
      <c r="D822" s="80"/>
      <c r="E822" s="80"/>
      <c r="F822" s="80"/>
      <c r="G822" s="80"/>
    </row>
    <row r="823">
      <c r="A823" s="106"/>
      <c r="B823" s="80"/>
      <c r="C823" s="80"/>
      <c r="D823" s="80"/>
      <c r="E823" s="80"/>
      <c r="F823" s="80"/>
      <c r="G823" s="80"/>
    </row>
    <row r="824">
      <c r="A824" s="106"/>
      <c r="B824" s="80"/>
      <c r="C824" s="80"/>
      <c r="D824" s="80"/>
      <c r="E824" s="80"/>
      <c r="F824" s="80"/>
      <c r="G824" s="80"/>
    </row>
    <row r="825">
      <c r="A825" s="106"/>
      <c r="B825" s="80"/>
      <c r="C825" s="80"/>
      <c r="D825" s="80"/>
      <c r="E825" s="80"/>
      <c r="F825" s="80"/>
      <c r="G825" s="80"/>
    </row>
    <row r="826">
      <c r="A826" s="106"/>
      <c r="B826" s="80"/>
      <c r="C826" s="80"/>
      <c r="D826" s="80"/>
      <c r="E826" s="80"/>
      <c r="F826" s="80"/>
      <c r="G826" s="80"/>
    </row>
    <row r="827">
      <c r="A827" s="106"/>
      <c r="B827" s="80"/>
      <c r="C827" s="80"/>
      <c r="D827" s="80"/>
      <c r="E827" s="80"/>
      <c r="F827" s="80"/>
      <c r="G827" s="80"/>
    </row>
    <row r="828">
      <c r="A828" s="106"/>
      <c r="B828" s="80"/>
      <c r="C828" s="80"/>
      <c r="D828" s="80"/>
      <c r="E828" s="80"/>
      <c r="F828" s="80"/>
      <c r="G828" s="80"/>
    </row>
    <row r="829">
      <c r="A829" s="106"/>
      <c r="B829" s="80"/>
      <c r="C829" s="80"/>
      <c r="D829" s="80"/>
      <c r="E829" s="80"/>
      <c r="F829" s="80"/>
      <c r="G829" s="80"/>
    </row>
    <row r="830">
      <c r="A830" s="106"/>
      <c r="B830" s="80"/>
      <c r="C830" s="80"/>
      <c r="D830" s="80"/>
      <c r="E830" s="80"/>
      <c r="F830" s="80"/>
      <c r="G830" s="80"/>
    </row>
    <row r="831">
      <c r="A831" s="106"/>
      <c r="B831" s="80"/>
      <c r="C831" s="80"/>
      <c r="D831" s="80"/>
      <c r="E831" s="80"/>
      <c r="F831" s="80"/>
      <c r="G831" s="80"/>
    </row>
    <row r="832">
      <c r="A832" s="106"/>
      <c r="B832" s="80"/>
      <c r="C832" s="80"/>
      <c r="D832" s="80"/>
      <c r="E832" s="80"/>
      <c r="F832" s="80"/>
      <c r="G832" s="80"/>
    </row>
    <row r="833">
      <c r="A833" s="106"/>
      <c r="B833" s="80"/>
      <c r="C833" s="80"/>
      <c r="D833" s="80"/>
      <c r="E833" s="80"/>
      <c r="F833" s="80"/>
      <c r="G833" s="80"/>
    </row>
    <row r="834">
      <c r="A834" s="106"/>
      <c r="B834" s="80"/>
      <c r="C834" s="80"/>
      <c r="D834" s="80"/>
      <c r="E834" s="80"/>
      <c r="F834" s="80"/>
      <c r="G834" s="80"/>
    </row>
    <row r="835">
      <c r="A835" s="106"/>
      <c r="B835" s="80"/>
      <c r="C835" s="80"/>
      <c r="D835" s="80"/>
      <c r="E835" s="80"/>
      <c r="F835" s="80"/>
      <c r="G835" s="80"/>
    </row>
    <row r="836">
      <c r="A836" s="106"/>
      <c r="B836" s="80"/>
      <c r="C836" s="80"/>
      <c r="D836" s="80"/>
      <c r="E836" s="80"/>
      <c r="F836" s="80"/>
      <c r="G836" s="80"/>
    </row>
    <row r="837">
      <c r="A837" s="106"/>
      <c r="B837" s="80"/>
      <c r="C837" s="80"/>
      <c r="D837" s="80"/>
      <c r="E837" s="80"/>
      <c r="F837" s="80"/>
      <c r="G837" s="80"/>
    </row>
    <row r="838">
      <c r="A838" s="106"/>
      <c r="B838" s="80"/>
      <c r="C838" s="80"/>
      <c r="D838" s="80"/>
      <c r="E838" s="80"/>
      <c r="F838" s="80"/>
      <c r="G838" s="80"/>
    </row>
    <row r="839">
      <c r="A839" s="106"/>
      <c r="B839" s="80"/>
      <c r="C839" s="80"/>
      <c r="D839" s="80"/>
      <c r="E839" s="80"/>
      <c r="F839" s="80"/>
      <c r="G839" s="80"/>
    </row>
    <row r="840">
      <c r="A840" s="106"/>
      <c r="B840" s="80"/>
      <c r="C840" s="80"/>
      <c r="D840" s="80"/>
      <c r="E840" s="80"/>
      <c r="F840" s="80"/>
      <c r="G840" s="80"/>
    </row>
    <row r="841">
      <c r="A841" s="106"/>
      <c r="B841" s="80"/>
      <c r="C841" s="80"/>
      <c r="D841" s="80"/>
      <c r="E841" s="80"/>
      <c r="F841" s="80"/>
      <c r="G841" s="80"/>
    </row>
    <row r="842">
      <c r="A842" s="106"/>
      <c r="B842" s="80"/>
      <c r="C842" s="80"/>
      <c r="D842" s="80"/>
      <c r="E842" s="80"/>
      <c r="F842" s="80"/>
      <c r="G842" s="80"/>
    </row>
    <row r="843">
      <c r="A843" s="106"/>
      <c r="B843" s="80"/>
      <c r="C843" s="80"/>
      <c r="D843" s="80"/>
      <c r="E843" s="80"/>
      <c r="F843" s="80"/>
      <c r="G843" s="80"/>
    </row>
    <row r="844">
      <c r="A844" s="106"/>
      <c r="B844" s="80"/>
      <c r="C844" s="80"/>
      <c r="D844" s="80"/>
      <c r="E844" s="80"/>
      <c r="F844" s="80"/>
      <c r="G844" s="80"/>
    </row>
    <row r="845">
      <c r="A845" s="106"/>
      <c r="B845" s="80"/>
      <c r="C845" s="80"/>
      <c r="D845" s="80"/>
      <c r="E845" s="80"/>
      <c r="F845" s="80"/>
      <c r="G845" s="80"/>
    </row>
    <row r="846">
      <c r="A846" s="106"/>
      <c r="B846" s="80"/>
      <c r="C846" s="80"/>
      <c r="D846" s="80"/>
      <c r="E846" s="80"/>
      <c r="F846" s="80"/>
      <c r="G846" s="80"/>
    </row>
    <row r="847">
      <c r="A847" s="106"/>
      <c r="B847" s="80"/>
      <c r="C847" s="80"/>
      <c r="D847" s="80"/>
      <c r="E847" s="80"/>
      <c r="F847" s="80"/>
      <c r="G847" s="80"/>
    </row>
    <row r="848">
      <c r="A848" s="106"/>
      <c r="B848" s="80"/>
      <c r="C848" s="80"/>
      <c r="D848" s="80"/>
      <c r="E848" s="80"/>
      <c r="F848" s="80"/>
      <c r="G848" s="80"/>
    </row>
    <row r="849">
      <c r="A849" s="106"/>
      <c r="B849" s="80"/>
      <c r="C849" s="80"/>
      <c r="D849" s="80"/>
      <c r="E849" s="80"/>
      <c r="F849" s="80"/>
      <c r="G849" s="80"/>
    </row>
    <row r="850">
      <c r="A850" s="106"/>
      <c r="B850" s="80"/>
      <c r="C850" s="80"/>
      <c r="D850" s="80"/>
      <c r="E850" s="80"/>
      <c r="F850" s="80"/>
      <c r="G850" s="80"/>
    </row>
    <row r="851">
      <c r="A851" s="106"/>
      <c r="B851" s="80"/>
      <c r="C851" s="80"/>
      <c r="D851" s="80"/>
      <c r="E851" s="80"/>
      <c r="F851" s="80"/>
      <c r="G851" s="80"/>
    </row>
    <row r="852">
      <c r="A852" s="106"/>
      <c r="B852" s="80"/>
      <c r="C852" s="80"/>
      <c r="D852" s="80"/>
      <c r="E852" s="80"/>
      <c r="F852" s="80"/>
      <c r="G852" s="80"/>
    </row>
    <row r="853">
      <c r="A853" s="106"/>
      <c r="B853" s="80"/>
      <c r="C853" s="80"/>
      <c r="D853" s="80"/>
      <c r="E853" s="80"/>
      <c r="F853" s="80"/>
      <c r="G853" s="80"/>
    </row>
    <row r="854">
      <c r="A854" s="106"/>
      <c r="B854" s="80"/>
      <c r="C854" s="80"/>
      <c r="D854" s="80"/>
      <c r="E854" s="80"/>
      <c r="F854" s="80"/>
      <c r="G854" s="80"/>
    </row>
    <row r="855">
      <c r="A855" s="106"/>
      <c r="B855" s="80"/>
      <c r="C855" s="80"/>
      <c r="D855" s="80"/>
      <c r="E855" s="80"/>
      <c r="F855" s="80"/>
      <c r="G855" s="80"/>
    </row>
    <row r="856">
      <c r="A856" s="106"/>
      <c r="B856" s="80"/>
      <c r="C856" s="80"/>
      <c r="D856" s="80"/>
      <c r="E856" s="80"/>
      <c r="F856" s="80"/>
      <c r="G856" s="80"/>
    </row>
    <row r="857">
      <c r="A857" s="106"/>
      <c r="B857" s="80"/>
      <c r="C857" s="80"/>
      <c r="D857" s="80"/>
      <c r="E857" s="80"/>
      <c r="F857" s="80"/>
      <c r="G857" s="80"/>
    </row>
    <row r="858">
      <c r="A858" s="106"/>
      <c r="B858" s="80"/>
      <c r="C858" s="80"/>
      <c r="D858" s="80"/>
      <c r="E858" s="80"/>
      <c r="F858" s="80"/>
      <c r="G858" s="80"/>
    </row>
    <row r="859">
      <c r="A859" s="106"/>
      <c r="B859" s="80"/>
      <c r="C859" s="80"/>
      <c r="D859" s="80"/>
      <c r="E859" s="80"/>
      <c r="F859" s="80"/>
      <c r="G859" s="80"/>
    </row>
    <row r="860">
      <c r="A860" s="106"/>
      <c r="B860" s="80"/>
      <c r="C860" s="80"/>
      <c r="D860" s="80"/>
      <c r="E860" s="80"/>
      <c r="F860" s="80"/>
      <c r="G860" s="80"/>
    </row>
    <row r="861">
      <c r="A861" s="106"/>
      <c r="B861" s="80"/>
      <c r="C861" s="80"/>
      <c r="D861" s="80"/>
      <c r="E861" s="80"/>
      <c r="F861" s="80"/>
      <c r="G861" s="80"/>
    </row>
    <row r="862">
      <c r="A862" s="106"/>
      <c r="B862" s="80"/>
      <c r="C862" s="80"/>
      <c r="D862" s="80"/>
      <c r="E862" s="80"/>
      <c r="F862" s="80"/>
      <c r="G862" s="80"/>
    </row>
    <row r="863">
      <c r="A863" s="106"/>
      <c r="B863" s="80"/>
      <c r="C863" s="80"/>
      <c r="D863" s="80"/>
      <c r="E863" s="80"/>
      <c r="F863" s="80"/>
      <c r="G863" s="80"/>
    </row>
    <row r="864">
      <c r="A864" s="106"/>
      <c r="B864" s="80"/>
      <c r="C864" s="80"/>
      <c r="D864" s="80"/>
      <c r="E864" s="80"/>
      <c r="F864" s="80"/>
      <c r="G864" s="80"/>
    </row>
    <row r="865">
      <c r="A865" s="106"/>
      <c r="B865" s="80"/>
      <c r="C865" s="80"/>
      <c r="D865" s="80"/>
      <c r="E865" s="80"/>
      <c r="F865" s="80"/>
      <c r="G865" s="80"/>
    </row>
    <row r="866">
      <c r="A866" s="106"/>
      <c r="B866" s="80"/>
      <c r="C866" s="80"/>
      <c r="D866" s="80"/>
      <c r="E866" s="80"/>
      <c r="F866" s="80"/>
      <c r="G866" s="80"/>
    </row>
    <row r="867">
      <c r="A867" s="106"/>
      <c r="B867" s="80"/>
      <c r="C867" s="80"/>
      <c r="D867" s="80"/>
      <c r="E867" s="80"/>
      <c r="F867" s="80"/>
      <c r="G867" s="80"/>
    </row>
    <row r="868">
      <c r="A868" s="106"/>
      <c r="B868" s="80"/>
      <c r="C868" s="80"/>
      <c r="D868" s="80"/>
      <c r="E868" s="80"/>
      <c r="F868" s="80"/>
      <c r="G868" s="80"/>
    </row>
    <row r="869">
      <c r="A869" s="106"/>
      <c r="B869" s="80"/>
      <c r="C869" s="80"/>
      <c r="D869" s="80"/>
      <c r="E869" s="80"/>
      <c r="F869" s="80"/>
      <c r="G869" s="80"/>
    </row>
    <row r="870">
      <c r="A870" s="106"/>
      <c r="B870" s="80"/>
      <c r="C870" s="80"/>
      <c r="D870" s="80"/>
      <c r="E870" s="80"/>
      <c r="F870" s="80"/>
      <c r="G870" s="80"/>
    </row>
    <row r="871">
      <c r="A871" s="106"/>
      <c r="B871" s="80"/>
      <c r="C871" s="80"/>
      <c r="D871" s="80"/>
      <c r="E871" s="80"/>
      <c r="F871" s="80"/>
      <c r="G871" s="80"/>
    </row>
    <row r="872">
      <c r="A872" s="106"/>
      <c r="B872" s="80"/>
      <c r="C872" s="80"/>
      <c r="D872" s="80"/>
      <c r="E872" s="80"/>
      <c r="F872" s="80"/>
      <c r="G872" s="80"/>
    </row>
    <row r="873">
      <c r="A873" s="106"/>
      <c r="B873" s="80"/>
      <c r="C873" s="80"/>
      <c r="D873" s="80"/>
      <c r="E873" s="80"/>
      <c r="F873" s="80"/>
      <c r="G873" s="80"/>
    </row>
    <row r="874">
      <c r="A874" s="106"/>
      <c r="B874" s="80"/>
      <c r="C874" s="80"/>
      <c r="D874" s="80"/>
      <c r="E874" s="80"/>
      <c r="F874" s="80"/>
      <c r="G874" s="80"/>
    </row>
    <row r="875">
      <c r="A875" s="106"/>
      <c r="B875" s="80"/>
      <c r="C875" s="80"/>
      <c r="D875" s="80"/>
      <c r="E875" s="80"/>
      <c r="F875" s="80"/>
      <c r="G875" s="80"/>
    </row>
    <row r="876">
      <c r="A876" s="106"/>
      <c r="B876" s="80"/>
      <c r="C876" s="80"/>
      <c r="D876" s="80"/>
      <c r="E876" s="80"/>
      <c r="F876" s="80"/>
      <c r="G876" s="80"/>
    </row>
    <row r="877">
      <c r="A877" s="106"/>
      <c r="B877" s="80"/>
      <c r="C877" s="80"/>
      <c r="D877" s="80"/>
      <c r="E877" s="80"/>
      <c r="F877" s="80"/>
      <c r="G877" s="80"/>
    </row>
    <row r="878">
      <c r="A878" s="106"/>
      <c r="B878" s="80"/>
      <c r="C878" s="80"/>
      <c r="D878" s="80"/>
      <c r="E878" s="80"/>
      <c r="F878" s="80"/>
      <c r="G878" s="80"/>
    </row>
    <row r="879">
      <c r="A879" s="106"/>
      <c r="B879" s="80"/>
      <c r="C879" s="80"/>
      <c r="D879" s="80"/>
      <c r="E879" s="80"/>
      <c r="F879" s="80"/>
      <c r="G879" s="80"/>
    </row>
    <row r="880">
      <c r="A880" s="106"/>
      <c r="B880" s="80"/>
      <c r="C880" s="80"/>
      <c r="D880" s="80"/>
      <c r="E880" s="80"/>
      <c r="F880" s="80"/>
      <c r="G880" s="80"/>
    </row>
    <row r="881">
      <c r="A881" s="106"/>
      <c r="B881" s="80"/>
      <c r="C881" s="80"/>
      <c r="D881" s="80"/>
      <c r="E881" s="80"/>
      <c r="F881" s="80"/>
      <c r="G881" s="80"/>
    </row>
    <row r="882">
      <c r="A882" s="106"/>
      <c r="B882" s="80"/>
      <c r="C882" s="80"/>
      <c r="D882" s="80"/>
      <c r="E882" s="80"/>
      <c r="F882" s="80"/>
      <c r="G882" s="80"/>
    </row>
    <row r="883">
      <c r="A883" s="106"/>
      <c r="B883" s="80"/>
      <c r="C883" s="80"/>
      <c r="D883" s="80"/>
      <c r="E883" s="80"/>
      <c r="F883" s="80"/>
      <c r="G883" s="80"/>
    </row>
    <row r="884">
      <c r="A884" s="106"/>
      <c r="B884" s="80"/>
      <c r="C884" s="80"/>
      <c r="D884" s="80"/>
      <c r="E884" s="80"/>
      <c r="F884" s="80"/>
      <c r="G884" s="80"/>
    </row>
    <row r="885">
      <c r="A885" s="106"/>
      <c r="B885" s="80"/>
      <c r="C885" s="80"/>
      <c r="D885" s="80"/>
      <c r="E885" s="80"/>
      <c r="F885" s="80"/>
      <c r="G885" s="80"/>
    </row>
    <row r="886">
      <c r="A886" s="106"/>
      <c r="B886" s="80"/>
      <c r="C886" s="80"/>
      <c r="D886" s="80"/>
      <c r="E886" s="80"/>
      <c r="F886" s="80"/>
      <c r="G886" s="80"/>
    </row>
    <row r="887">
      <c r="A887" s="106"/>
      <c r="B887" s="80"/>
      <c r="C887" s="80"/>
      <c r="D887" s="80"/>
      <c r="E887" s="80"/>
      <c r="F887" s="80"/>
      <c r="G887" s="80"/>
    </row>
    <row r="888">
      <c r="A888" s="106"/>
      <c r="B888" s="80"/>
      <c r="C888" s="80"/>
      <c r="D888" s="80"/>
      <c r="E888" s="80"/>
      <c r="F888" s="80"/>
      <c r="G888" s="80"/>
    </row>
    <row r="889">
      <c r="A889" s="106"/>
      <c r="B889" s="80"/>
      <c r="C889" s="80"/>
      <c r="D889" s="80"/>
      <c r="E889" s="80"/>
      <c r="F889" s="80"/>
      <c r="G889" s="80"/>
    </row>
    <row r="890">
      <c r="A890" s="106"/>
      <c r="B890" s="80"/>
      <c r="C890" s="80"/>
      <c r="D890" s="80"/>
      <c r="E890" s="80"/>
      <c r="F890" s="80"/>
      <c r="G890" s="80"/>
    </row>
    <row r="891">
      <c r="A891" s="106"/>
      <c r="B891" s="80"/>
      <c r="C891" s="80"/>
      <c r="D891" s="80"/>
      <c r="E891" s="80"/>
      <c r="F891" s="80"/>
      <c r="G891" s="80"/>
    </row>
    <row r="892">
      <c r="A892" s="106"/>
      <c r="B892" s="80"/>
      <c r="C892" s="80"/>
      <c r="D892" s="80"/>
      <c r="E892" s="80"/>
      <c r="F892" s="80"/>
      <c r="G892" s="80"/>
    </row>
    <row r="893">
      <c r="A893" s="106"/>
      <c r="B893" s="80"/>
      <c r="C893" s="80"/>
      <c r="D893" s="80"/>
      <c r="E893" s="80"/>
      <c r="F893" s="80"/>
      <c r="G893" s="80"/>
    </row>
    <row r="894">
      <c r="A894" s="106"/>
      <c r="B894" s="80"/>
      <c r="C894" s="80"/>
      <c r="D894" s="80"/>
      <c r="E894" s="80"/>
      <c r="F894" s="80"/>
      <c r="G894" s="80"/>
    </row>
    <row r="895">
      <c r="A895" s="106"/>
      <c r="B895" s="80"/>
      <c r="C895" s="80"/>
      <c r="D895" s="80"/>
      <c r="E895" s="80"/>
      <c r="F895" s="80"/>
      <c r="G895" s="80"/>
    </row>
    <row r="896">
      <c r="A896" s="106"/>
      <c r="B896" s="80"/>
      <c r="C896" s="80"/>
      <c r="D896" s="80"/>
      <c r="E896" s="80"/>
      <c r="F896" s="80"/>
      <c r="G896" s="80"/>
    </row>
    <row r="897">
      <c r="A897" s="106"/>
      <c r="B897" s="80"/>
      <c r="C897" s="80"/>
      <c r="D897" s="80"/>
      <c r="E897" s="80"/>
      <c r="F897" s="80"/>
      <c r="G897" s="80"/>
    </row>
    <row r="898">
      <c r="A898" s="106"/>
      <c r="B898" s="80"/>
      <c r="C898" s="80"/>
      <c r="D898" s="80"/>
      <c r="E898" s="80"/>
      <c r="F898" s="80"/>
      <c r="G898" s="80"/>
    </row>
    <row r="899">
      <c r="A899" s="106"/>
      <c r="B899" s="80"/>
      <c r="C899" s="80"/>
      <c r="D899" s="80"/>
      <c r="E899" s="80"/>
      <c r="F899" s="80"/>
      <c r="G899" s="80"/>
    </row>
    <row r="900">
      <c r="A900" s="106"/>
      <c r="B900" s="80"/>
      <c r="C900" s="80"/>
      <c r="D900" s="80"/>
      <c r="E900" s="80"/>
      <c r="F900" s="80"/>
      <c r="G900" s="80"/>
    </row>
    <row r="901">
      <c r="A901" s="106"/>
      <c r="B901" s="80"/>
      <c r="C901" s="80"/>
      <c r="D901" s="80"/>
      <c r="E901" s="80"/>
      <c r="F901" s="80"/>
      <c r="G901" s="80"/>
    </row>
    <row r="902">
      <c r="A902" s="106"/>
      <c r="B902" s="80"/>
      <c r="C902" s="80"/>
      <c r="D902" s="80"/>
      <c r="E902" s="80"/>
      <c r="F902" s="80"/>
      <c r="G902" s="80"/>
    </row>
    <row r="903">
      <c r="A903" s="106"/>
      <c r="B903" s="80"/>
      <c r="C903" s="80"/>
      <c r="D903" s="80"/>
      <c r="E903" s="80"/>
      <c r="F903" s="80"/>
      <c r="G903" s="80"/>
    </row>
    <row r="904">
      <c r="A904" s="106"/>
      <c r="B904" s="80"/>
      <c r="C904" s="80"/>
      <c r="D904" s="80"/>
      <c r="E904" s="80"/>
      <c r="F904" s="80"/>
      <c r="G904" s="80"/>
    </row>
    <row r="905">
      <c r="A905" s="106"/>
      <c r="B905" s="80"/>
      <c r="C905" s="80"/>
      <c r="D905" s="80"/>
      <c r="E905" s="80"/>
      <c r="F905" s="80"/>
      <c r="G905" s="80"/>
    </row>
    <row r="906">
      <c r="A906" s="106"/>
      <c r="B906" s="80"/>
      <c r="C906" s="80"/>
      <c r="D906" s="80"/>
      <c r="E906" s="80"/>
      <c r="F906" s="80"/>
      <c r="G906" s="80"/>
    </row>
    <row r="907">
      <c r="A907" s="106"/>
      <c r="B907" s="80"/>
      <c r="C907" s="80"/>
      <c r="D907" s="80"/>
      <c r="E907" s="80"/>
      <c r="F907" s="80"/>
      <c r="G907" s="80"/>
    </row>
    <row r="908">
      <c r="A908" s="106"/>
      <c r="B908" s="80"/>
      <c r="C908" s="80"/>
      <c r="D908" s="80"/>
      <c r="E908" s="80"/>
      <c r="F908" s="80"/>
      <c r="G908" s="80"/>
    </row>
    <row r="909">
      <c r="A909" s="106"/>
      <c r="B909" s="80"/>
      <c r="C909" s="80"/>
      <c r="D909" s="80"/>
      <c r="E909" s="80"/>
      <c r="F909" s="80"/>
      <c r="G909" s="80"/>
    </row>
    <row r="910">
      <c r="A910" s="106"/>
      <c r="B910" s="80"/>
      <c r="C910" s="80"/>
      <c r="D910" s="80"/>
      <c r="E910" s="80"/>
      <c r="F910" s="80"/>
      <c r="G910" s="80"/>
    </row>
    <row r="911">
      <c r="A911" s="106"/>
      <c r="B911" s="80"/>
      <c r="C911" s="80"/>
      <c r="D911" s="80"/>
      <c r="E911" s="80"/>
      <c r="F911" s="80"/>
      <c r="G911" s="80"/>
    </row>
    <row r="912">
      <c r="A912" s="106"/>
      <c r="B912" s="80"/>
      <c r="C912" s="80"/>
      <c r="D912" s="80"/>
      <c r="E912" s="80"/>
      <c r="F912" s="80"/>
      <c r="G912" s="80"/>
    </row>
    <row r="913">
      <c r="A913" s="106"/>
      <c r="B913" s="80"/>
      <c r="C913" s="80"/>
      <c r="D913" s="80"/>
      <c r="E913" s="80"/>
      <c r="F913" s="80"/>
      <c r="G913" s="80"/>
    </row>
    <row r="914">
      <c r="A914" s="106"/>
      <c r="B914" s="80"/>
      <c r="C914" s="80"/>
      <c r="D914" s="80"/>
      <c r="E914" s="80"/>
      <c r="F914" s="80"/>
      <c r="G914" s="80"/>
    </row>
    <row r="915">
      <c r="A915" s="106"/>
      <c r="B915" s="80"/>
      <c r="C915" s="80"/>
      <c r="D915" s="80"/>
      <c r="E915" s="80"/>
      <c r="F915" s="80"/>
      <c r="G915" s="80"/>
    </row>
    <row r="916">
      <c r="A916" s="106"/>
      <c r="B916" s="80"/>
      <c r="C916" s="80"/>
      <c r="D916" s="80"/>
      <c r="E916" s="80"/>
      <c r="F916" s="80"/>
      <c r="G916" s="80"/>
    </row>
    <row r="917">
      <c r="A917" s="106"/>
      <c r="B917" s="80"/>
      <c r="C917" s="80"/>
      <c r="D917" s="80"/>
      <c r="E917" s="80"/>
      <c r="F917" s="80"/>
      <c r="G917" s="80"/>
    </row>
    <row r="918">
      <c r="A918" s="106"/>
      <c r="B918" s="80"/>
      <c r="C918" s="80"/>
      <c r="D918" s="80"/>
      <c r="E918" s="80"/>
      <c r="F918" s="80"/>
      <c r="G918" s="80"/>
    </row>
    <row r="919">
      <c r="A919" s="106"/>
      <c r="B919" s="80"/>
      <c r="C919" s="80"/>
      <c r="D919" s="80"/>
      <c r="E919" s="80"/>
      <c r="F919" s="80"/>
      <c r="G919" s="80"/>
    </row>
    <row r="920">
      <c r="A920" s="106"/>
      <c r="B920" s="80"/>
      <c r="C920" s="80"/>
      <c r="D920" s="80"/>
      <c r="E920" s="80"/>
      <c r="F920" s="80"/>
      <c r="G920" s="80"/>
    </row>
    <row r="921">
      <c r="A921" s="106"/>
      <c r="B921" s="80"/>
      <c r="C921" s="80"/>
      <c r="D921" s="80"/>
      <c r="E921" s="80"/>
      <c r="F921" s="80"/>
      <c r="G921" s="80"/>
    </row>
    <row r="922">
      <c r="A922" s="106"/>
      <c r="B922" s="80"/>
      <c r="C922" s="80"/>
      <c r="D922" s="80"/>
      <c r="E922" s="80"/>
      <c r="F922" s="80"/>
      <c r="G922" s="80"/>
    </row>
    <row r="923">
      <c r="A923" s="106"/>
      <c r="B923" s="80"/>
      <c r="C923" s="80"/>
      <c r="D923" s="80"/>
      <c r="E923" s="80"/>
      <c r="F923" s="80"/>
      <c r="G923" s="80"/>
    </row>
    <row r="924">
      <c r="A924" s="106"/>
      <c r="B924" s="80"/>
      <c r="C924" s="80"/>
      <c r="D924" s="80"/>
      <c r="E924" s="80"/>
      <c r="F924" s="80"/>
      <c r="G924" s="80"/>
    </row>
    <row r="925">
      <c r="A925" s="106"/>
      <c r="B925" s="80"/>
      <c r="C925" s="80"/>
      <c r="D925" s="80"/>
      <c r="E925" s="80"/>
      <c r="F925" s="80"/>
      <c r="G925" s="80"/>
    </row>
    <row r="926">
      <c r="A926" s="106"/>
      <c r="B926" s="80"/>
      <c r="C926" s="80"/>
      <c r="D926" s="80"/>
      <c r="E926" s="80"/>
      <c r="F926" s="80"/>
      <c r="G926" s="80"/>
    </row>
    <row r="927">
      <c r="A927" s="106"/>
      <c r="B927" s="80"/>
      <c r="C927" s="80"/>
      <c r="D927" s="80"/>
      <c r="E927" s="80"/>
      <c r="F927" s="80"/>
      <c r="G927" s="80"/>
    </row>
    <row r="928">
      <c r="A928" s="106"/>
      <c r="B928" s="80"/>
      <c r="C928" s="80"/>
      <c r="D928" s="80"/>
      <c r="E928" s="80"/>
      <c r="F928" s="80"/>
      <c r="G928" s="80"/>
    </row>
    <row r="929">
      <c r="A929" s="106"/>
      <c r="B929" s="80"/>
      <c r="C929" s="80"/>
      <c r="D929" s="80"/>
      <c r="E929" s="80"/>
      <c r="F929" s="80"/>
      <c r="G929" s="80"/>
    </row>
    <row r="930">
      <c r="A930" s="106"/>
      <c r="B930" s="80"/>
      <c r="C930" s="80"/>
      <c r="D930" s="80"/>
      <c r="E930" s="80"/>
      <c r="F930" s="80"/>
      <c r="G930" s="80"/>
    </row>
    <row r="931">
      <c r="A931" s="106"/>
      <c r="B931" s="80"/>
      <c r="C931" s="80"/>
      <c r="D931" s="80"/>
      <c r="E931" s="80"/>
      <c r="F931" s="80"/>
      <c r="G931" s="80"/>
    </row>
    <row r="932">
      <c r="A932" s="106"/>
      <c r="B932" s="80"/>
      <c r="C932" s="80"/>
      <c r="D932" s="80"/>
      <c r="E932" s="80"/>
      <c r="F932" s="80"/>
      <c r="G932" s="80"/>
    </row>
    <row r="933">
      <c r="A933" s="106"/>
      <c r="B933" s="80"/>
      <c r="C933" s="80"/>
      <c r="D933" s="80"/>
      <c r="E933" s="80"/>
      <c r="F933" s="80"/>
      <c r="G933" s="80"/>
    </row>
    <row r="934">
      <c r="A934" s="106"/>
      <c r="B934" s="80"/>
      <c r="C934" s="80"/>
      <c r="D934" s="80"/>
      <c r="E934" s="80"/>
      <c r="F934" s="80"/>
      <c r="G934" s="80"/>
    </row>
    <row r="935">
      <c r="A935" s="106"/>
      <c r="B935" s="80"/>
      <c r="C935" s="80"/>
      <c r="D935" s="80"/>
      <c r="E935" s="80"/>
      <c r="F935" s="80"/>
      <c r="G935" s="80"/>
    </row>
    <row r="936">
      <c r="A936" s="106"/>
      <c r="B936" s="80"/>
      <c r="C936" s="80"/>
      <c r="D936" s="80"/>
      <c r="E936" s="80"/>
      <c r="F936" s="80"/>
      <c r="G936" s="80"/>
    </row>
    <row r="937">
      <c r="A937" s="106"/>
      <c r="B937" s="80"/>
      <c r="C937" s="80"/>
      <c r="D937" s="80"/>
      <c r="E937" s="80"/>
      <c r="F937" s="80"/>
      <c r="G937" s="80"/>
    </row>
    <row r="938">
      <c r="A938" s="106"/>
      <c r="B938" s="80"/>
      <c r="C938" s="80"/>
      <c r="D938" s="80"/>
      <c r="E938" s="80"/>
      <c r="F938" s="80"/>
      <c r="G938" s="80"/>
    </row>
    <row r="939">
      <c r="A939" s="106"/>
      <c r="B939" s="80"/>
      <c r="C939" s="80"/>
      <c r="D939" s="80"/>
      <c r="E939" s="80"/>
      <c r="F939" s="80"/>
      <c r="G939" s="80"/>
    </row>
    <row r="940">
      <c r="A940" s="106"/>
      <c r="B940" s="80"/>
      <c r="C940" s="80"/>
      <c r="D940" s="80"/>
      <c r="E940" s="80"/>
      <c r="F940" s="80"/>
      <c r="G940" s="80"/>
    </row>
    <row r="941">
      <c r="A941" s="106"/>
      <c r="B941" s="80"/>
      <c r="C941" s="80"/>
      <c r="D941" s="80"/>
      <c r="E941" s="80"/>
      <c r="F941" s="80"/>
      <c r="G941" s="80"/>
    </row>
    <row r="942">
      <c r="A942" s="106"/>
      <c r="B942" s="80"/>
      <c r="C942" s="80"/>
      <c r="D942" s="80"/>
      <c r="E942" s="80"/>
      <c r="F942" s="80"/>
      <c r="G942" s="80"/>
    </row>
    <row r="943">
      <c r="A943" s="106"/>
      <c r="B943" s="80"/>
      <c r="C943" s="80"/>
      <c r="D943" s="80"/>
      <c r="E943" s="80"/>
      <c r="F943" s="80"/>
      <c r="G943" s="80"/>
    </row>
    <row r="944">
      <c r="A944" s="106"/>
      <c r="B944" s="80"/>
      <c r="C944" s="80"/>
      <c r="D944" s="80"/>
      <c r="E944" s="80"/>
      <c r="F944" s="80"/>
      <c r="G944" s="80"/>
    </row>
    <row r="945">
      <c r="A945" s="106"/>
      <c r="B945" s="80"/>
      <c r="C945" s="80"/>
      <c r="D945" s="80"/>
      <c r="E945" s="80"/>
      <c r="F945" s="80"/>
      <c r="G945" s="80"/>
    </row>
    <row r="946">
      <c r="A946" s="106"/>
      <c r="B946" s="80"/>
      <c r="C946" s="80"/>
      <c r="D946" s="80"/>
      <c r="E946" s="80"/>
      <c r="F946" s="80"/>
      <c r="G946" s="80"/>
    </row>
    <row r="947">
      <c r="A947" s="106"/>
      <c r="B947" s="80"/>
      <c r="C947" s="80"/>
      <c r="D947" s="80"/>
      <c r="E947" s="80"/>
      <c r="F947" s="80"/>
      <c r="G947" s="80"/>
    </row>
    <row r="948">
      <c r="A948" s="106"/>
      <c r="B948" s="80"/>
      <c r="C948" s="80"/>
      <c r="D948" s="80"/>
      <c r="E948" s="80"/>
      <c r="F948" s="80"/>
      <c r="G948" s="80"/>
    </row>
    <row r="949">
      <c r="A949" s="106"/>
      <c r="B949" s="80"/>
      <c r="C949" s="80"/>
      <c r="D949" s="80"/>
      <c r="E949" s="80"/>
      <c r="F949" s="80"/>
      <c r="G949" s="80"/>
    </row>
    <row r="950">
      <c r="A950" s="106"/>
      <c r="B950" s="80"/>
      <c r="C950" s="80"/>
      <c r="D950" s="80"/>
      <c r="E950" s="80"/>
      <c r="F950" s="80"/>
      <c r="G950" s="80"/>
    </row>
    <row r="951">
      <c r="A951" s="106"/>
      <c r="B951" s="80"/>
      <c r="C951" s="80"/>
      <c r="D951" s="80"/>
      <c r="E951" s="80"/>
      <c r="F951" s="80"/>
      <c r="G951" s="80"/>
    </row>
    <row r="952">
      <c r="A952" s="106"/>
      <c r="B952" s="80"/>
      <c r="C952" s="80"/>
      <c r="D952" s="80"/>
      <c r="E952" s="80"/>
      <c r="F952" s="80"/>
      <c r="G952" s="80"/>
    </row>
    <row r="953">
      <c r="A953" s="106"/>
      <c r="B953" s="80"/>
      <c r="C953" s="80"/>
      <c r="D953" s="80"/>
      <c r="E953" s="80"/>
      <c r="F953" s="80"/>
      <c r="G953" s="80"/>
    </row>
    <row r="954">
      <c r="A954" s="106"/>
      <c r="B954" s="80"/>
      <c r="C954" s="80"/>
      <c r="D954" s="80"/>
      <c r="E954" s="80"/>
      <c r="F954" s="80"/>
      <c r="G954" s="80"/>
    </row>
    <row r="955">
      <c r="A955" s="106"/>
      <c r="B955" s="80"/>
      <c r="C955" s="80"/>
      <c r="D955" s="80"/>
      <c r="E955" s="80"/>
      <c r="F955" s="80"/>
      <c r="G955" s="80"/>
    </row>
    <row r="956">
      <c r="A956" s="106"/>
      <c r="B956" s="80"/>
      <c r="C956" s="80"/>
      <c r="D956" s="80"/>
      <c r="E956" s="80"/>
      <c r="F956" s="80"/>
      <c r="G956" s="80"/>
    </row>
    <row r="957">
      <c r="A957" s="106"/>
      <c r="B957" s="80"/>
      <c r="C957" s="80"/>
      <c r="D957" s="80"/>
      <c r="E957" s="80"/>
      <c r="F957" s="80"/>
      <c r="G957" s="80"/>
    </row>
    <row r="958">
      <c r="A958" s="106"/>
      <c r="B958" s="80"/>
      <c r="C958" s="80"/>
      <c r="D958" s="80"/>
      <c r="E958" s="80"/>
      <c r="F958" s="80"/>
      <c r="G958" s="80"/>
    </row>
    <row r="959">
      <c r="A959" s="106"/>
      <c r="B959" s="80"/>
      <c r="C959" s="80"/>
      <c r="D959" s="80"/>
      <c r="E959" s="80"/>
      <c r="F959" s="80"/>
      <c r="G959" s="80"/>
    </row>
    <row r="960">
      <c r="A960" s="106"/>
      <c r="B960" s="80"/>
      <c r="C960" s="80"/>
      <c r="D960" s="80"/>
      <c r="E960" s="80"/>
      <c r="F960" s="80"/>
      <c r="G960" s="80"/>
    </row>
    <row r="961">
      <c r="A961" s="106"/>
      <c r="B961" s="80"/>
      <c r="C961" s="80"/>
      <c r="D961" s="80"/>
      <c r="E961" s="80"/>
      <c r="F961" s="80"/>
      <c r="G961" s="80"/>
    </row>
    <row r="962">
      <c r="A962" s="106"/>
      <c r="B962" s="80"/>
      <c r="C962" s="80"/>
      <c r="D962" s="80"/>
      <c r="E962" s="80"/>
      <c r="F962" s="80"/>
      <c r="G962" s="80"/>
    </row>
    <row r="963">
      <c r="A963" s="106"/>
      <c r="B963" s="80"/>
      <c r="C963" s="80"/>
      <c r="D963" s="80"/>
      <c r="E963" s="80"/>
      <c r="F963" s="80"/>
      <c r="G963" s="80"/>
    </row>
    <row r="964">
      <c r="A964" s="106"/>
      <c r="B964" s="80"/>
      <c r="C964" s="80"/>
      <c r="D964" s="80"/>
      <c r="E964" s="80"/>
      <c r="F964" s="80"/>
      <c r="G964" s="80"/>
    </row>
    <row r="965">
      <c r="A965" s="106"/>
      <c r="B965" s="80"/>
      <c r="C965" s="80"/>
      <c r="D965" s="80"/>
      <c r="E965" s="80"/>
      <c r="F965" s="80"/>
      <c r="G965" s="80"/>
    </row>
    <row r="966">
      <c r="A966" s="106"/>
      <c r="B966" s="80"/>
      <c r="C966" s="80"/>
      <c r="D966" s="80"/>
      <c r="E966" s="80"/>
      <c r="F966" s="80"/>
      <c r="G966" s="80"/>
    </row>
    <row r="967">
      <c r="A967" s="106"/>
      <c r="B967" s="80"/>
      <c r="C967" s="80"/>
      <c r="D967" s="80"/>
      <c r="E967" s="80"/>
      <c r="F967" s="80"/>
      <c r="G967" s="80"/>
    </row>
    <row r="968">
      <c r="A968" s="106"/>
      <c r="B968" s="80"/>
      <c r="C968" s="80"/>
      <c r="D968" s="80"/>
      <c r="E968" s="80"/>
      <c r="F968" s="80"/>
      <c r="G968" s="80"/>
    </row>
    <row r="969">
      <c r="A969" s="106"/>
      <c r="B969" s="80"/>
      <c r="C969" s="80"/>
      <c r="D969" s="80"/>
      <c r="E969" s="80"/>
      <c r="F969" s="80"/>
      <c r="G969" s="80"/>
    </row>
    <row r="970">
      <c r="A970" s="106"/>
      <c r="B970" s="80"/>
      <c r="C970" s="80"/>
      <c r="D970" s="80"/>
      <c r="E970" s="80"/>
      <c r="F970" s="80"/>
      <c r="G970" s="80"/>
    </row>
    <row r="971">
      <c r="A971" s="106"/>
      <c r="B971" s="80"/>
      <c r="C971" s="80"/>
      <c r="D971" s="80"/>
      <c r="E971" s="80"/>
      <c r="F971" s="80"/>
      <c r="G971" s="80"/>
    </row>
    <row r="972">
      <c r="A972" s="106"/>
      <c r="B972" s="80"/>
      <c r="C972" s="80"/>
      <c r="D972" s="80"/>
      <c r="E972" s="80"/>
      <c r="F972" s="80"/>
      <c r="G972" s="80"/>
    </row>
    <row r="973">
      <c r="A973" s="106"/>
      <c r="B973" s="80"/>
      <c r="C973" s="80"/>
      <c r="D973" s="80"/>
      <c r="E973" s="80"/>
      <c r="F973" s="80"/>
      <c r="G973" s="80"/>
    </row>
    <row r="974">
      <c r="A974" s="106"/>
      <c r="B974" s="80"/>
      <c r="C974" s="80"/>
      <c r="D974" s="80"/>
      <c r="E974" s="80"/>
      <c r="F974" s="80"/>
      <c r="G974" s="80"/>
    </row>
    <row r="975">
      <c r="A975" s="106"/>
      <c r="B975" s="80"/>
      <c r="C975" s="80"/>
      <c r="D975" s="80"/>
      <c r="E975" s="80"/>
      <c r="F975" s="80"/>
      <c r="G975" s="80"/>
    </row>
    <row r="976">
      <c r="A976" s="106"/>
      <c r="B976" s="80"/>
      <c r="C976" s="80"/>
      <c r="D976" s="80"/>
      <c r="E976" s="80"/>
      <c r="F976" s="80"/>
      <c r="G976" s="80"/>
    </row>
    <row r="977">
      <c r="A977" s="106"/>
      <c r="B977" s="80"/>
      <c r="C977" s="80"/>
      <c r="D977" s="80"/>
      <c r="E977" s="80"/>
      <c r="F977" s="80"/>
      <c r="G977" s="80"/>
    </row>
    <row r="978">
      <c r="A978" s="106"/>
      <c r="B978" s="80"/>
      <c r="C978" s="80"/>
      <c r="D978" s="80"/>
      <c r="E978" s="80"/>
      <c r="F978" s="80"/>
      <c r="G978" s="80"/>
    </row>
    <row r="979">
      <c r="A979" s="106"/>
      <c r="B979" s="80"/>
      <c r="C979" s="80"/>
      <c r="D979" s="80"/>
      <c r="E979" s="80"/>
      <c r="F979" s="80"/>
      <c r="G979" s="80"/>
    </row>
    <row r="980">
      <c r="A980" s="106"/>
      <c r="B980" s="80"/>
      <c r="C980" s="80"/>
      <c r="D980" s="80"/>
      <c r="E980" s="80"/>
      <c r="F980" s="80"/>
      <c r="G980" s="80"/>
    </row>
    <row r="981">
      <c r="A981" s="106"/>
      <c r="B981" s="80"/>
      <c r="C981" s="80"/>
      <c r="D981" s="80"/>
      <c r="E981" s="80"/>
      <c r="F981" s="80"/>
      <c r="G981" s="80"/>
    </row>
    <row r="982">
      <c r="A982" s="106"/>
      <c r="B982" s="80"/>
      <c r="C982" s="80"/>
      <c r="D982" s="80"/>
      <c r="E982" s="80"/>
      <c r="F982" s="80"/>
      <c r="G982" s="80"/>
    </row>
    <row r="983">
      <c r="A983" s="106"/>
      <c r="B983" s="80"/>
      <c r="C983" s="80"/>
      <c r="D983" s="80"/>
      <c r="E983" s="80"/>
      <c r="F983" s="80"/>
      <c r="G983" s="80"/>
    </row>
    <row r="984">
      <c r="A984" s="106"/>
      <c r="B984" s="80"/>
      <c r="C984" s="80"/>
      <c r="D984" s="80"/>
      <c r="E984" s="80"/>
      <c r="F984" s="80"/>
      <c r="G984" s="80"/>
    </row>
    <row r="985">
      <c r="A985" s="106"/>
      <c r="B985" s="80"/>
      <c r="C985" s="80"/>
      <c r="D985" s="80"/>
      <c r="E985" s="80"/>
      <c r="F985" s="80"/>
      <c r="G985" s="80"/>
    </row>
    <row r="986">
      <c r="A986" s="106"/>
      <c r="B986" s="80"/>
      <c r="C986" s="80"/>
      <c r="D986" s="80"/>
      <c r="E986" s="80"/>
      <c r="F986" s="80"/>
      <c r="G986" s="80"/>
    </row>
    <row r="987">
      <c r="A987" s="106"/>
      <c r="B987" s="80"/>
      <c r="C987" s="80"/>
      <c r="D987" s="80"/>
      <c r="E987" s="80"/>
      <c r="F987" s="80"/>
      <c r="G987" s="80"/>
    </row>
    <row r="988">
      <c r="A988" s="106"/>
      <c r="B988" s="80"/>
      <c r="C988" s="80"/>
      <c r="D988" s="80"/>
      <c r="E988" s="80"/>
      <c r="F988" s="80"/>
      <c r="G988" s="80"/>
    </row>
    <row r="989">
      <c r="A989" s="106"/>
      <c r="B989" s="80"/>
      <c r="C989" s="80"/>
      <c r="D989" s="80"/>
      <c r="E989" s="80"/>
      <c r="F989" s="80"/>
      <c r="G989" s="80"/>
    </row>
    <row r="990">
      <c r="A990" s="106"/>
      <c r="B990" s="80"/>
      <c r="C990" s="80"/>
      <c r="D990" s="80"/>
      <c r="E990" s="80"/>
      <c r="F990" s="80"/>
      <c r="G990" s="80"/>
    </row>
    <row r="991">
      <c r="A991" s="106"/>
      <c r="B991" s="80"/>
      <c r="C991" s="80"/>
      <c r="D991" s="80"/>
      <c r="E991" s="80"/>
      <c r="F991" s="80"/>
      <c r="G991" s="80"/>
    </row>
    <row r="992">
      <c r="A992" s="106"/>
      <c r="B992" s="80"/>
      <c r="C992" s="80"/>
      <c r="D992" s="80"/>
      <c r="E992" s="80"/>
      <c r="F992" s="80"/>
      <c r="G992" s="80"/>
    </row>
    <row r="993">
      <c r="A993" s="106"/>
      <c r="B993" s="80"/>
      <c r="C993" s="80"/>
      <c r="D993" s="80"/>
      <c r="E993" s="80"/>
      <c r="F993" s="80"/>
      <c r="G993" s="80"/>
    </row>
    <row r="994">
      <c r="A994" s="106"/>
      <c r="B994" s="80"/>
      <c r="C994" s="80"/>
      <c r="D994" s="80"/>
      <c r="E994" s="80"/>
      <c r="F994" s="80"/>
      <c r="G994" s="80"/>
    </row>
    <row r="995">
      <c r="A995" s="106"/>
      <c r="B995" s="80"/>
      <c r="C995" s="80"/>
      <c r="D995" s="80"/>
      <c r="E995" s="80"/>
      <c r="F995" s="80"/>
      <c r="G995" s="80"/>
    </row>
    <row r="996">
      <c r="A996" s="106"/>
      <c r="B996" s="80"/>
      <c r="C996" s="80"/>
      <c r="D996" s="80"/>
      <c r="E996" s="80"/>
      <c r="F996" s="80"/>
      <c r="G996" s="80"/>
    </row>
    <row r="997">
      <c r="A997" s="106"/>
      <c r="B997" s="80"/>
      <c r="C997" s="80"/>
      <c r="D997" s="80"/>
      <c r="E997" s="80"/>
      <c r="F997" s="80"/>
      <c r="G997" s="80"/>
    </row>
    <row r="998">
      <c r="A998" s="106"/>
      <c r="B998" s="80"/>
      <c r="C998" s="80"/>
      <c r="D998" s="80"/>
      <c r="E998" s="80"/>
      <c r="F998" s="80"/>
      <c r="G998" s="80"/>
    </row>
    <row r="999">
      <c r="A999" s="106"/>
      <c r="B999" s="80"/>
      <c r="C999" s="80"/>
      <c r="D999" s="80"/>
      <c r="E999" s="80"/>
      <c r="F999" s="80"/>
      <c r="G999" s="80"/>
    </row>
    <row r="1000">
      <c r="A1000" s="106"/>
      <c r="B1000" s="80"/>
      <c r="C1000" s="80"/>
      <c r="D1000" s="80"/>
      <c r="E1000" s="80"/>
      <c r="F1000" s="80"/>
      <c r="G1000" s="80"/>
    </row>
    <row r="1001">
      <c r="A1001" s="106"/>
      <c r="B1001" s="80"/>
      <c r="C1001" s="80"/>
      <c r="D1001" s="80"/>
      <c r="E1001" s="80"/>
      <c r="F1001" s="80"/>
      <c r="G1001" s="80"/>
    </row>
    <row r="1002">
      <c r="A1002" s="106"/>
      <c r="B1002" s="80"/>
      <c r="C1002" s="80"/>
      <c r="D1002" s="80"/>
      <c r="E1002" s="80"/>
      <c r="F1002" s="80"/>
      <c r="G1002" s="80"/>
    </row>
    <row r="1003">
      <c r="A1003" s="106"/>
      <c r="B1003" s="80"/>
      <c r="C1003" s="80"/>
      <c r="D1003" s="80"/>
      <c r="E1003" s="80"/>
      <c r="F1003" s="80"/>
      <c r="G1003" s="80"/>
    </row>
    <row r="1004">
      <c r="A1004" s="106"/>
      <c r="B1004" s="80"/>
      <c r="C1004" s="80"/>
      <c r="D1004" s="80"/>
      <c r="E1004" s="80"/>
      <c r="F1004" s="80"/>
      <c r="G1004" s="80"/>
    </row>
    <row r="1005">
      <c r="A1005" s="106"/>
      <c r="B1005" s="80"/>
      <c r="C1005" s="80"/>
      <c r="D1005" s="80"/>
      <c r="E1005" s="80"/>
      <c r="F1005" s="80"/>
      <c r="G1005" s="80"/>
    </row>
    <row r="1006">
      <c r="A1006" s="106"/>
      <c r="B1006" s="80"/>
      <c r="C1006" s="80"/>
      <c r="D1006" s="80"/>
      <c r="E1006" s="80"/>
      <c r="F1006" s="80"/>
      <c r="G1006" s="80"/>
    </row>
    <row r="1007">
      <c r="A1007" s="106"/>
      <c r="B1007" s="80"/>
      <c r="C1007" s="80"/>
      <c r="D1007" s="80"/>
      <c r="E1007" s="80"/>
      <c r="F1007" s="80"/>
      <c r="G1007" s="80"/>
    </row>
    <row r="1008">
      <c r="A1008" s="106"/>
      <c r="B1008" s="80"/>
      <c r="C1008" s="80"/>
      <c r="D1008" s="80"/>
      <c r="E1008" s="80"/>
      <c r="F1008" s="80"/>
      <c r="G1008" s="80"/>
    </row>
    <row r="1009">
      <c r="A1009" s="106"/>
      <c r="B1009" s="80"/>
      <c r="C1009" s="80"/>
      <c r="D1009" s="80"/>
      <c r="E1009" s="80"/>
      <c r="F1009" s="80"/>
      <c r="G1009" s="80"/>
    </row>
    <row r="1010">
      <c r="A1010" s="106"/>
      <c r="B1010" s="80"/>
      <c r="C1010" s="80"/>
      <c r="D1010" s="80"/>
      <c r="E1010" s="80"/>
      <c r="F1010" s="80"/>
      <c r="G1010" s="80"/>
    </row>
    <row r="1011">
      <c r="A1011" s="106"/>
      <c r="B1011" s="80"/>
      <c r="C1011" s="80"/>
      <c r="D1011" s="80"/>
      <c r="E1011" s="80"/>
      <c r="F1011" s="80"/>
      <c r="G1011" s="80"/>
    </row>
    <row r="1012">
      <c r="A1012" s="106"/>
      <c r="B1012" s="80"/>
      <c r="C1012" s="80"/>
      <c r="D1012" s="80"/>
      <c r="E1012" s="80"/>
      <c r="F1012" s="80"/>
      <c r="G1012" s="80"/>
    </row>
    <row r="1013">
      <c r="A1013" s="106"/>
      <c r="B1013" s="80"/>
      <c r="C1013" s="80"/>
      <c r="D1013" s="80"/>
      <c r="E1013" s="80"/>
      <c r="F1013" s="80"/>
      <c r="G1013" s="80"/>
    </row>
    <row r="1014">
      <c r="A1014" s="106"/>
      <c r="B1014" s="80"/>
      <c r="C1014" s="80"/>
      <c r="D1014" s="80"/>
      <c r="E1014" s="80"/>
      <c r="F1014" s="80"/>
      <c r="G1014" s="80"/>
    </row>
    <row r="1015">
      <c r="A1015" s="106"/>
      <c r="B1015" s="80"/>
      <c r="C1015" s="80"/>
      <c r="D1015" s="80"/>
      <c r="E1015" s="80"/>
      <c r="F1015" s="80"/>
      <c r="G1015" s="80"/>
    </row>
    <row r="1016">
      <c r="A1016" s="106"/>
      <c r="B1016" s="80"/>
      <c r="C1016" s="80"/>
      <c r="D1016" s="80"/>
      <c r="E1016" s="80"/>
      <c r="F1016" s="80"/>
      <c r="G1016" s="80"/>
    </row>
    <row r="1017">
      <c r="A1017" s="106"/>
      <c r="B1017" s="80"/>
      <c r="C1017" s="80"/>
      <c r="D1017" s="80"/>
      <c r="E1017" s="80"/>
      <c r="F1017" s="80"/>
      <c r="G1017" s="80"/>
    </row>
    <row r="1018">
      <c r="A1018" s="106"/>
      <c r="B1018" s="80"/>
      <c r="C1018" s="80"/>
      <c r="D1018" s="80"/>
      <c r="E1018" s="80"/>
      <c r="F1018" s="80"/>
      <c r="G1018" s="80"/>
    </row>
    <row r="1019">
      <c r="A1019" s="106"/>
      <c r="B1019" s="80"/>
      <c r="C1019" s="80"/>
      <c r="D1019" s="80"/>
      <c r="E1019" s="80"/>
      <c r="F1019" s="80"/>
      <c r="G1019" s="80"/>
    </row>
    <row r="1020">
      <c r="A1020" s="106"/>
      <c r="B1020" s="80"/>
      <c r="C1020" s="80"/>
      <c r="D1020" s="80"/>
      <c r="E1020" s="80"/>
      <c r="F1020" s="80"/>
      <c r="G1020" s="80"/>
    </row>
    <row r="1021">
      <c r="A1021" s="106"/>
      <c r="B1021" s="80"/>
      <c r="C1021" s="80"/>
      <c r="D1021" s="80"/>
      <c r="E1021" s="80"/>
      <c r="F1021" s="80"/>
      <c r="G1021" s="80"/>
    </row>
    <row r="1022">
      <c r="A1022" s="106"/>
      <c r="B1022" s="80"/>
      <c r="C1022" s="80"/>
      <c r="D1022" s="80"/>
      <c r="E1022" s="80"/>
      <c r="F1022" s="80"/>
      <c r="G1022" s="80"/>
    </row>
    <row r="1023">
      <c r="A1023" s="106"/>
      <c r="B1023" s="80"/>
      <c r="C1023" s="80"/>
      <c r="D1023" s="80"/>
      <c r="E1023" s="80"/>
      <c r="F1023" s="80"/>
      <c r="G1023" s="80"/>
    </row>
    <row r="1024">
      <c r="A1024" s="106"/>
      <c r="B1024" s="80"/>
      <c r="C1024" s="80"/>
      <c r="D1024" s="80"/>
      <c r="E1024" s="80"/>
      <c r="F1024" s="80"/>
      <c r="G1024" s="80"/>
    </row>
    <row r="1025">
      <c r="A1025" s="106"/>
      <c r="B1025" s="80"/>
      <c r="C1025" s="80"/>
      <c r="D1025" s="80"/>
      <c r="E1025" s="80"/>
      <c r="F1025" s="80"/>
      <c r="G1025" s="80"/>
    </row>
    <row r="1026">
      <c r="A1026" s="106"/>
      <c r="B1026" s="80"/>
      <c r="C1026" s="80"/>
      <c r="D1026" s="80"/>
      <c r="E1026" s="80"/>
      <c r="F1026" s="80"/>
      <c r="G1026" s="80"/>
    </row>
    <row r="1027">
      <c r="A1027" s="106"/>
      <c r="B1027" s="80"/>
      <c r="C1027" s="80"/>
      <c r="D1027" s="80"/>
      <c r="E1027" s="80"/>
      <c r="F1027" s="80"/>
      <c r="G1027" s="80"/>
    </row>
    <row r="1028">
      <c r="A1028" s="106"/>
      <c r="B1028" s="80"/>
      <c r="C1028" s="80"/>
      <c r="D1028" s="80"/>
      <c r="E1028" s="80"/>
      <c r="F1028" s="80"/>
      <c r="G1028" s="80"/>
    </row>
    <row r="1029">
      <c r="A1029" s="106"/>
      <c r="B1029" s="80"/>
      <c r="C1029" s="80"/>
      <c r="D1029" s="80"/>
      <c r="E1029" s="80"/>
      <c r="F1029" s="80"/>
      <c r="G1029" s="80"/>
    </row>
    <row r="1030">
      <c r="A1030" s="106"/>
      <c r="B1030" s="80"/>
      <c r="C1030" s="80"/>
      <c r="D1030" s="80"/>
      <c r="E1030" s="80"/>
      <c r="F1030" s="80"/>
      <c r="G1030" s="80"/>
    </row>
    <row r="1031">
      <c r="A1031" s="106"/>
      <c r="B1031" s="80"/>
      <c r="C1031" s="80"/>
      <c r="D1031" s="80"/>
      <c r="E1031" s="80"/>
      <c r="F1031" s="80"/>
      <c r="G1031" s="80"/>
    </row>
    <row r="1032">
      <c r="A1032" s="106"/>
      <c r="B1032" s="80"/>
      <c r="C1032" s="80"/>
      <c r="D1032" s="80"/>
      <c r="E1032" s="80"/>
      <c r="F1032" s="80"/>
      <c r="G1032" s="80"/>
    </row>
    <row r="1033">
      <c r="A1033" s="106"/>
      <c r="B1033" s="80"/>
      <c r="C1033" s="80"/>
      <c r="D1033" s="80"/>
      <c r="E1033" s="80"/>
      <c r="F1033" s="80"/>
      <c r="G1033" s="80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19.75"/>
    <col customWidth="1" min="2" max="2" width="8.13"/>
  </cols>
  <sheetData>
    <row r="23">
      <c r="A23" s="64" t="s">
        <v>358</v>
      </c>
      <c r="B23" s="68">
        <f>'Velocity Tracking'!C2</f>
        <v>18.85714286</v>
      </c>
      <c r="C23" s="64" t="s">
        <v>230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34.25"/>
    <col customWidth="1" min="2" max="2" width="50.75"/>
    <col customWidth="1" min="3" max="3" width="54.38"/>
    <col customWidth="1" min="4" max="4" width="57.38"/>
  </cols>
  <sheetData>
    <row r="1">
      <c r="A1" s="126" t="s">
        <v>57</v>
      </c>
      <c r="B1" s="127" t="s">
        <v>359</v>
      </c>
      <c r="C1" s="127" t="s">
        <v>360</v>
      </c>
      <c r="D1" s="128" t="s">
        <v>361</v>
      </c>
    </row>
    <row r="2">
      <c r="A2" s="129" t="s">
        <v>362</v>
      </c>
      <c r="B2" s="130" t="s">
        <v>363</v>
      </c>
      <c r="C2" s="131" t="s">
        <v>364</v>
      </c>
      <c r="D2" s="131" t="s">
        <v>365</v>
      </c>
    </row>
    <row r="3">
      <c r="A3" s="61" t="s">
        <v>366</v>
      </c>
      <c r="B3" s="132" t="s">
        <v>367</v>
      </c>
      <c r="C3" s="133" t="s">
        <v>368</v>
      </c>
      <c r="D3" s="133" t="s">
        <v>369</v>
      </c>
    </row>
    <row r="4">
      <c r="A4" s="60" t="s">
        <v>370</v>
      </c>
      <c r="B4" s="134" t="s">
        <v>371</v>
      </c>
      <c r="C4" s="133" t="s">
        <v>372</v>
      </c>
      <c r="D4" s="133" t="s">
        <v>373</v>
      </c>
    </row>
    <row r="5">
      <c r="A5" s="133" t="s">
        <v>374</v>
      </c>
      <c r="B5" s="133" t="s">
        <v>375</v>
      </c>
      <c r="C5" s="133" t="s">
        <v>376</v>
      </c>
      <c r="D5" s="133" t="s">
        <v>377</v>
      </c>
    </row>
    <row r="6">
      <c r="A6" s="133" t="s">
        <v>378</v>
      </c>
      <c r="B6" s="133" t="s">
        <v>379</v>
      </c>
      <c r="C6" s="133" t="s">
        <v>380</v>
      </c>
      <c r="D6" s="133" t="s">
        <v>381</v>
      </c>
    </row>
    <row r="7">
      <c r="A7" s="133" t="s">
        <v>382</v>
      </c>
      <c r="B7" s="133" t="s">
        <v>383</v>
      </c>
      <c r="C7" s="133" t="s">
        <v>384</v>
      </c>
      <c r="D7" s="133" t="s">
        <v>385</v>
      </c>
    </row>
    <row r="8">
      <c r="A8" s="133" t="s">
        <v>386</v>
      </c>
      <c r="B8" s="133" t="s">
        <v>387</v>
      </c>
      <c r="C8" s="133" t="s">
        <v>388</v>
      </c>
      <c r="D8" s="133" t="s">
        <v>389</v>
      </c>
    </row>
    <row r="9">
      <c r="A9" s="133" t="s">
        <v>390</v>
      </c>
      <c r="B9" s="133" t="s">
        <v>391</v>
      </c>
      <c r="C9" s="133" t="s">
        <v>392</v>
      </c>
      <c r="D9" s="133" t="s">
        <v>393</v>
      </c>
    </row>
    <row r="10">
      <c r="A10" s="135"/>
      <c r="B10" s="135"/>
      <c r="C10" s="135"/>
      <c r="D10" s="135"/>
    </row>
    <row r="11">
      <c r="A11" s="135"/>
      <c r="B11" s="135"/>
      <c r="C11" s="135"/>
      <c r="D11" s="135"/>
    </row>
    <row r="12">
      <c r="A12" s="135"/>
      <c r="B12" s="135"/>
      <c r="C12" s="135"/>
      <c r="D12" s="135"/>
    </row>
    <row r="13">
      <c r="A13" s="135"/>
      <c r="B13" s="135"/>
      <c r="C13" s="135"/>
      <c r="D13" s="135"/>
    </row>
    <row r="14">
      <c r="A14" s="135"/>
      <c r="B14" s="135"/>
      <c r="C14" s="135"/>
      <c r="D14" s="135"/>
    </row>
    <row r="15">
      <c r="A15" s="135"/>
      <c r="B15" s="135"/>
      <c r="C15" s="135"/>
      <c r="D15" s="135"/>
    </row>
    <row r="16">
      <c r="A16" s="135"/>
      <c r="B16" s="135"/>
      <c r="C16" s="135"/>
      <c r="D16" s="135"/>
    </row>
    <row r="17">
      <c r="A17" s="135"/>
      <c r="B17" s="135"/>
      <c r="C17" s="135"/>
      <c r="D17" s="135"/>
    </row>
    <row r="18">
      <c r="A18" s="135"/>
      <c r="B18" s="135"/>
      <c r="C18" s="135"/>
      <c r="D18" s="135"/>
    </row>
    <row r="19">
      <c r="A19" s="135"/>
      <c r="B19" s="135"/>
      <c r="C19" s="135"/>
      <c r="D19" s="135"/>
    </row>
    <row r="20">
      <c r="A20" s="135"/>
      <c r="B20" s="135"/>
      <c r="C20" s="135"/>
      <c r="D20" s="135"/>
    </row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3" t="s">
        <v>394</v>
      </c>
      <c r="B1" s="3" t="s">
        <v>395</v>
      </c>
    </row>
    <row r="2">
      <c r="A2" s="12" t="s">
        <v>396</v>
      </c>
      <c r="B2" s="136" t="s">
        <v>397</v>
      </c>
    </row>
    <row r="3">
      <c r="A3" s="2"/>
      <c r="B3" s="2"/>
    </row>
    <row r="4">
      <c r="A4" s="2"/>
      <c r="B4" s="2"/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</sheetData>
  <hyperlinks>
    <hyperlink r:id="rId1" ref="B2"/>
  </hyperlinks>
  <drawing r:id="rId2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26" t="s">
        <v>57</v>
      </c>
      <c r="B1" s="3" t="s">
        <v>398</v>
      </c>
      <c r="C1" s="3" t="s">
        <v>399</v>
      </c>
      <c r="D1" s="3" t="s">
        <v>400</v>
      </c>
      <c r="E1" s="3" t="s">
        <v>401</v>
      </c>
      <c r="F1" s="3" t="s">
        <v>64</v>
      </c>
    </row>
    <row r="2">
      <c r="A2" s="137">
        <v>1.0</v>
      </c>
      <c r="B2" s="138" t="s">
        <v>402</v>
      </c>
      <c r="C2" s="138" t="s">
        <v>403</v>
      </c>
      <c r="D2" s="138" t="s">
        <v>404</v>
      </c>
      <c r="E2" s="139" t="s">
        <v>405</v>
      </c>
      <c r="F2" s="138" t="s">
        <v>406</v>
      </c>
    </row>
    <row r="3">
      <c r="A3" s="137">
        <v>2.0</v>
      </c>
      <c r="B3" s="138" t="s">
        <v>402</v>
      </c>
      <c r="C3" s="138" t="s">
        <v>407</v>
      </c>
      <c r="D3" s="64" t="s">
        <v>408</v>
      </c>
      <c r="E3" s="139" t="s">
        <v>409</v>
      </c>
      <c r="F3" s="138" t="s">
        <v>410</v>
      </c>
    </row>
    <row r="4">
      <c r="A4" s="137">
        <v>3.0</v>
      </c>
      <c r="B4" s="138" t="s">
        <v>411</v>
      </c>
      <c r="C4" s="138" t="s">
        <v>412</v>
      </c>
      <c r="D4" s="138" t="s">
        <v>413</v>
      </c>
      <c r="E4" s="139" t="s">
        <v>409</v>
      </c>
      <c r="F4" s="138" t="s">
        <v>414</v>
      </c>
    </row>
    <row r="5">
      <c r="A5" s="140">
        <v>4.0</v>
      </c>
      <c r="B5" s="141" t="s">
        <v>415</v>
      </c>
      <c r="C5" s="141" t="s">
        <v>416</v>
      </c>
      <c r="D5" s="141" t="s">
        <v>417</v>
      </c>
      <c r="E5" s="141" t="s">
        <v>409</v>
      </c>
      <c r="F5" s="12" t="s">
        <v>418</v>
      </c>
    </row>
    <row r="6">
      <c r="A6" s="140">
        <v>5.0</v>
      </c>
      <c r="B6" s="141" t="s">
        <v>415</v>
      </c>
      <c r="C6" s="141" t="s">
        <v>419</v>
      </c>
      <c r="D6" s="141" t="s">
        <v>417</v>
      </c>
      <c r="E6" s="141" t="s">
        <v>409</v>
      </c>
      <c r="F6" s="12" t="s">
        <v>420</v>
      </c>
    </row>
    <row r="7">
      <c r="A7" s="140">
        <v>6.0</v>
      </c>
      <c r="B7" s="141" t="s">
        <v>415</v>
      </c>
      <c r="C7" s="141" t="s">
        <v>421</v>
      </c>
      <c r="D7" s="141" t="s">
        <v>422</v>
      </c>
      <c r="E7" s="141" t="s">
        <v>409</v>
      </c>
      <c r="F7" s="12" t="s">
        <v>423</v>
      </c>
    </row>
    <row r="8">
      <c r="A8" s="140">
        <v>7.0</v>
      </c>
      <c r="B8" s="141" t="s">
        <v>415</v>
      </c>
      <c r="C8" s="141" t="s">
        <v>424</v>
      </c>
      <c r="D8" s="141" t="s">
        <v>422</v>
      </c>
      <c r="E8" s="141" t="s">
        <v>409</v>
      </c>
      <c r="F8" s="141" t="s">
        <v>425</v>
      </c>
    </row>
    <row r="9">
      <c r="A9" s="140">
        <v>8.0</v>
      </c>
      <c r="B9" s="141" t="s">
        <v>415</v>
      </c>
      <c r="C9" s="141" t="s">
        <v>426</v>
      </c>
      <c r="D9" s="141" t="s">
        <v>422</v>
      </c>
      <c r="E9" s="141" t="s">
        <v>409</v>
      </c>
      <c r="F9" s="141" t="s">
        <v>427</v>
      </c>
    </row>
    <row r="10">
      <c r="A10" s="140">
        <v>9.0</v>
      </c>
      <c r="B10" s="141" t="s">
        <v>415</v>
      </c>
      <c r="C10" s="141" t="s">
        <v>428</v>
      </c>
      <c r="D10" s="141" t="s">
        <v>422</v>
      </c>
      <c r="E10" s="141" t="s">
        <v>409</v>
      </c>
      <c r="F10" s="141" t="s">
        <v>429</v>
      </c>
    </row>
    <row r="11">
      <c r="A11" s="140">
        <v>10.0</v>
      </c>
      <c r="B11" s="141" t="s">
        <v>415</v>
      </c>
      <c r="C11" s="141" t="s">
        <v>430</v>
      </c>
      <c r="D11" s="141" t="s">
        <v>417</v>
      </c>
      <c r="E11" s="141" t="s">
        <v>409</v>
      </c>
      <c r="F11" s="141" t="s">
        <v>431</v>
      </c>
    </row>
    <row r="12">
      <c r="A12" s="140">
        <v>11.0</v>
      </c>
      <c r="B12" s="141" t="s">
        <v>415</v>
      </c>
      <c r="C12" s="141" t="s">
        <v>432</v>
      </c>
      <c r="D12" s="141" t="s">
        <v>417</v>
      </c>
      <c r="E12" s="141" t="s">
        <v>409</v>
      </c>
      <c r="F12" s="141" t="s">
        <v>433</v>
      </c>
    </row>
    <row r="13">
      <c r="A13" s="140">
        <v>12.0</v>
      </c>
      <c r="B13" s="141" t="s">
        <v>415</v>
      </c>
      <c r="C13" s="141" t="s">
        <v>434</v>
      </c>
      <c r="D13" s="141" t="s">
        <v>435</v>
      </c>
      <c r="E13" s="141" t="s">
        <v>436</v>
      </c>
      <c r="F13" s="141" t="s">
        <v>437</v>
      </c>
    </row>
    <row r="14">
      <c r="A14" s="140">
        <v>13.0</v>
      </c>
      <c r="B14" s="141" t="s">
        <v>415</v>
      </c>
      <c r="C14" s="141" t="s">
        <v>438</v>
      </c>
      <c r="D14" s="141" t="s">
        <v>435</v>
      </c>
      <c r="E14" s="141" t="s">
        <v>436</v>
      </c>
      <c r="F14" s="141" t="s">
        <v>439</v>
      </c>
    </row>
    <row r="15">
      <c r="A15" s="140">
        <v>14.0</v>
      </c>
      <c r="B15" s="141" t="s">
        <v>415</v>
      </c>
      <c r="C15" s="141" t="s">
        <v>440</v>
      </c>
      <c r="D15" s="141" t="s">
        <v>441</v>
      </c>
      <c r="E15" s="141" t="s">
        <v>409</v>
      </c>
      <c r="F15" s="141" t="s">
        <v>442</v>
      </c>
    </row>
    <row r="16">
      <c r="A16" s="140">
        <v>15.0</v>
      </c>
      <c r="B16" s="141" t="s">
        <v>415</v>
      </c>
      <c r="C16" s="141" t="s">
        <v>443</v>
      </c>
      <c r="D16" s="141" t="s">
        <v>444</v>
      </c>
      <c r="E16" s="141" t="s">
        <v>445</v>
      </c>
      <c r="F16" s="141" t="s">
        <v>446</v>
      </c>
    </row>
    <row r="17">
      <c r="A17" s="140">
        <v>16.0</v>
      </c>
      <c r="B17" s="141" t="s">
        <v>415</v>
      </c>
      <c r="C17" s="141" t="s">
        <v>447</v>
      </c>
      <c r="D17" s="141" t="s">
        <v>448</v>
      </c>
      <c r="E17" s="141" t="s">
        <v>449</v>
      </c>
      <c r="F17" s="141" t="s">
        <v>450</v>
      </c>
    </row>
    <row r="18">
      <c r="A18" s="140">
        <v>17.0</v>
      </c>
      <c r="B18" s="141" t="s">
        <v>415</v>
      </c>
      <c r="C18" s="141" t="s">
        <v>451</v>
      </c>
      <c r="D18" s="141" t="s">
        <v>422</v>
      </c>
      <c r="E18" s="141" t="s">
        <v>409</v>
      </c>
      <c r="F18" s="141" t="s">
        <v>452</v>
      </c>
    </row>
    <row r="19">
      <c r="A19" s="140">
        <v>18.0</v>
      </c>
      <c r="B19" s="141" t="s">
        <v>415</v>
      </c>
      <c r="C19" s="141" t="s">
        <v>453</v>
      </c>
      <c r="D19" s="141" t="s">
        <v>422</v>
      </c>
      <c r="E19" s="141" t="s">
        <v>409</v>
      </c>
      <c r="F19" s="141" t="s">
        <v>454</v>
      </c>
    </row>
    <row r="20">
      <c r="A20" s="140">
        <v>19.0</v>
      </c>
      <c r="B20" s="141" t="s">
        <v>415</v>
      </c>
      <c r="C20" s="141" t="s">
        <v>455</v>
      </c>
      <c r="D20" s="140">
        <v>2.4</v>
      </c>
      <c r="E20" s="141" t="s">
        <v>409</v>
      </c>
      <c r="F20" s="141" t="s">
        <v>456</v>
      </c>
    </row>
    <row r="21">
      <c r="A21" s="140">
        <v>20.0</v>
      </c>
      <c r="B21" s="141" t="s">
        <v>415</v>
      </c>
      <c r="C21" s="141" t="s">
        <v>457</v>
      </c>
      <c r="D21" s="141" t="s">
        <v>458</v>
      </c>
      <c r="E21" s="141" t="s">
        <v>409</v>
      </c>
      <c r="F21" s="141" t="s">
        <v>459</v>
      </c>
    </row>
    <row r="22">
      <c r="A22" s="140">
        <v>21.0</v>
      </c>
      <c r="B22" s="141" t="s">
        <v>415</v>
      </c>
      <c r="C22" s="141" t="s">
        <v>460</v>
      </c>
      <c r="D22" s="141" t="s">
        <v>458</v>
      </c>
      <c r="E22" s="141" t="s">
        <v>409</v>
      </c>
      <c r="F22" s="141" t="s">
        <v>461</v>
      </c>
    </row>
    <row r="23">
      <c r="A23" s="140">
        <v>22.0</v>
      </c>
      <c r="B23" s="141" t="s">
        <v>415</v>
      </c>
      <c r="C23" s="141" t="s">
        <v>462</v>
      </c>
      <c r="D23" s="141" t="s">
        <v>458</v>
      </c>
      <c r="E23" s="141" t="s">
        <v>409</v>
      </c>
      <c r="F23" s="141" t="s">
        <v>463</v>
      </c>
    </row>
    <row r="24">
      <c r="A24" s="140">
        <v>23.0</v>
      </c>
      <c r="B24" s="141" t="s">
        <v>415</v>
      </c>
      <c r="C24" s="141" t="s">
        <v>464</v>
      </c>
      <c r="D24" s="141" t="s">
        <v>465</v>
      </c>
      <c r="E24" s="141" t="s">
        <v>466</v>
      </c>
      <c r="F24" s="141" t="s">
        <v>467</v>
      </c>
    </row>
    <row r="25">
      <c r="A25" s="140">
        <v>24.0</v>
      </c>
      <c r="B25" s="141" t="s">
        <v>415</v>
      </c>
      <c r="C25" s="141" t="s">
        <v>468</v>
      </c>
      <c r="D25" s="141" t="s">
        <v>469</v>
      </c>
      <c r="E25" s="141" t="s">
        <v>466</v>
      </c>
      <c r="F25" s="141" t="s">
        <v>470</v>
      </c>
    </row>
    <row r="26">
      <c r="A26" s="140">
        <v>25.0</v>
      </c>
      <c r="B26" s="141" t="s">
        <v>415</v>
      </c>
      <c r="C26" s="141" t="s">
        <v>471</v>
      </c>
      <c r="D26" s="141" t="s">
        <v>458</v>
      </c>
      <c r="E26" s="141" t="s">
        <v>409</v>
      </c>
      <c r="F26" s="141" t="s">
        <v>472</v>
      </c>
    </row>
    <row r="27">
      <c r="A27" s="140">
        <v>26.0</v>
      </c>
      <c r="B27" s="141" t="s">
        <v>415</v>
      </c>
      <c r="C27" s="141" t="s">
        <v>473</v>
      </c>
      <c r="D27" s="141" t="s">
        <v>474</v>
      </c>
      <c r="E27" s="141" t="s">
        <v>409</v>
      </c>
      <c r="F27" s="141" t="s">
        <v>475</v>
      </c>
    </row>
    <row r="28">
      <c r="A28" s="140">
        <v>27.0</v>
      </c>
      <c r="B28" s="141" t="s">
        <v>415</v>
      </c>
      <c r="C28" s="141" t="s">
        <v>476</v>
      </c>
      <c r="D28" s="141" t="s">
        <v>474</v>
      </c>
      <c r="E28" s="141" t="s">
        <v>409</v>
      </c>
      <c r="F28" s="141" t="s">
        <v>477</v>
      </c>
    </row>
    <row r="29">
      <c r="A29" s="140">
        <v>28.0</v>
      </c>
      <c r="B29" s="141" t="s">
        <v>415</v>
      </c>
      <c r="C29" s="141" t="s">
        <v>478</v>
      </c>
      <c r="D29" s="141" t="s">
        <v>474</v>
      </c>
      <c r="E29" s="141" t="s">
        <v>409</v>
      </c>
      <c r="F29" s="141" t="s">
        <v>479</v>
      </c>
    </row>
    <row r="30">
      <c r="A30" s="140">
        <v>29.0</v>
      </c>
      <c r="B30" s="141" t="s">
        <v>415</v>
      </c>
      <c r="C30" s="141" t="s">
        <v>480</v>
      </c>
      <c r="D30" s="141" t="s">
        <v>474</v>
      </c>
      <c r="E30" s="141" t="s">
        <v>409</v>
      </c>
      <c r="F30" s="141" t="s">
        <v>481</v>
      </c>
    </row>
    <row r="31">
      <c r="A31" s="140">
        <v>30.0</v>
      </c>
      <c r="B31" s="141" t="s">
        <v>415</v>
      </c>
      <c r="C31" s="141" t="s">
        <v>482</v>
      </c>
      <c r="D31" s="141" t="s">
        <v>474</v>
      </c>
      <c r="E31" s="141" t="s">
        <v>409</v>
      </c>
      <c r="F31" s="141" t="s">
        <v>483</v>
      </c>
    </row>
    <row r="32">
      <c r="A32" s="140">
        <v>31.0</v>
      </c>
      <c r="B32" s="141" t="s">
        <v>415</v>
      </c>
      <c r="C32" s="141" t="s">
        <v>484</v>
      </c>
      <c r="D32" s="141" t="s">
        <v>474</v>
      </c>
      <c r="E32" s="141" t="s">
        <v>409</v>
      </c>
      <c r="F32" s="141" t="s">
        <v>485</v>
      </c>
    </row>
    <row r="33">
      <c r="A33" s="140">
        <v>32.0</v>
      </c>
      <c r="B33" s="141" t="s">
        <v>415</v>
      </c>
      <c r="C33" s="141" t="s">
        <v>486</v>
      </c>
      <c r="D33" s="141" t="s">
        <v>487</v>
      </c>
      <c r="E33" s="141" t="s">
        <v>445</v>
      </c>
      <c r="F33" s="141" t="s">
        <v>488</v>
      </c>
    </row>
    <row r="34">
      <c r="A34" s="140">
        <v>33.0</v>
      </c>
      <c r="B34" s="141" t="s">
        <v>415</v>
      </c>
      <c r="C34" s="141" t="s">
        <v>489</v>
      </c>
      <c r="D34" s="141" t="s">
        <v>490</v>
      </c>
      <c r="E34" s="141" t="s">
        <v>409</v>
      </c>
      <c r="F34" s="141" t="s">
        <v>491</v>
      </c>
    </row>
    <row r="35">
      <c r="A35" s="140">
        <v>34.0</v>
      </c>
      <c r="B35" s="141" t="s">
        <v>415</v>
      </c>
      <c r="C35" s="141" t="s">
        <v>492</v>
      </c>
      <c r="D35" s="141" t="s">
        <v>490</v>
      </c>
      <c r="E35" s="141" t="s">
        <v>409</v>
      </c>
      <c r="F35" s="141" t="s">
        <v>493</v>
      </c>
    </row>
    <row r="36">
      <c r="A36" s="140">
        <v>35.0</v>
      </c>
      <c r="B36" s="141" t="s">
        <v>415</v>
      </c>
      <c r="C36" s="141" t="s">
        <v>494</v>
      </c>
      <c r="D36" s="141" t="s">
        <v>490</v>
      </c>
      <c r="E36" s="141" t="s">
        <v>409</v>
      </c>
      <c r="F36" s="141" t="s">
        <v>495</v>
      </c>
    </row>
    <row r="37">
      <c r="A37" s="140">
        <v>36.0</v>
      </c>
      <c r="B37" s="141" t="s">
        <v>415</v>
      </c>
      <c r="C37" s="141" t="s">
        <v>496</v>
      </c>
      <c r="D37" s="141" t="s">
        <v>490</v>
      </c>
      <c r="E37" s="141" t="s">
        <v>409</v>
      </c>
      <c r="F37" s="141" t="s">
        <v>497</v>
      </c>
    </row>
    <row r="38">
      <c r="A38" s="140">
        <v>37.0</v>
      </c>
      <c r="B38" s="141" t="s">
        <v>415</v>
      </c>
      <c r="C38" s="141" t="s">
        <v>498</v>
      </c>
      <c r="D38" s="141" t="s">
        <v>490</v>
      </c>
      <c r="E38" s="141" t="s">
        <v>409</v>
      </c>
      <c r="F38" s="141" t="s">
        <v>499</v>
      </c>
    </row>
    <row r="39">
      <c r="A39" s="140">
        <v>38.0</v>
      </c>
      <c r="B39" s="141" t="s">
        <v>415</v>
      </c>
      <c r="C39" s="141" t="s">
        <v>500</v>
      </c>
      <c r="D39" s="141" t="s">
        <v>501</v>
      </c>
      <c r="E39" s="141" t="s">
        <v>502</v>
      </c>
      <c r="F39" s="141" t="s">
        <v>503</v>
      </c>
    </row>
    <row r="40">
      <c r="A40" s="140">
        <v>39.0</v>
      </c>
      <c r="B40" s="141" t="s">
        <v>415</v>
      </c>
      <c r="C40" s="141" t="s">
        <v>504</v>
      </c>
      <c r="D40" s="141" t="s">
        <v>490</v>
      </c>
      <c r="E40" s="141" t="s">
        <v>409</v>
      </c>
      <c r="F40" s="141" t="s">
        <v>505</v>
      </c>
    </row>
    <row r="41">
      <c r="A41" s="140">
        <v>40.0</v>
      </c>
      <c r="B41" s="141" t="s">
        <v>415</v>
      </c>
      <c r="C41" s="141" t="s">
        <v>506</v>
      </c>
      <c r="D41" s="141" t="s">
        <v>490</v>
      </c>
      <c r="E41" s="141" t="s">
        <v>409</v>
      </c>
      <c r="F41" s="141" t="s">
        <v>507</v>
      </c>
    </row>
    <row r="42">
      <c r="A42" s="140">
        <v>41.0</v>
      </c>
      <c r="B42" s="141" t="s">
        <v>415</v>
      </c>
      <c r="C42" s="141" t="s">
        <v>508</v>
      </c>
      <c r="D42" s="141" t="s">
        <v>509</v>
      </c>
      <c r="E42" s="141" t="s">
        <v>409</v>
      </c>
      <c r="F42" s="141" t="s">
        <v>510</v>
      </c>
    </row>
    <row r="43">
      <c r="A43" s="140">
        <v>42.0</v>
      </c>
      <c r="B43" s="141" t="s">
        <v>415</v>
      </c>
      <c r="C43" s="141" t="s">
        <v>511</v>
      </c>
      <c r="D43" s="141" t="s">
        <v>509</v>
      </c>
      <c r="E43" s="141" t="s">
        <v>409</v>
      </c>
      <c r="F43" s="141" t="s">
        <v>512</v>
      </c>
    </row>
    <row r="44">
      <c r="A44" s="140">
        <v>43.0</v>
      </c>
      <c r="B44" s="141" t="s">
        <v>415</v>
      </c>
      <c r="C44" s="141" t="s">
        <v>513</v>
      </c>
      <c r="D44" s="141" t="s">
        <v>490</v>
      </c>
      <c r="E44" s="141" t="s">
        <v>409</v>
      </c>
      <c r="F44" s="141" t="s">
        <v>514</v>
      </c>
    </row>
    <row r="45">
      <c r="A45" s="140">
        <v>44.0</v>
      </c>
      <c r="B45" s="141" t="s">
        <v>415</v>
      </c>
      <c r="C45" s="141" t="s">
        <v>515</v>
      </c>
      <c r="D45" s="141" t="s">
        <v>490</v>
      </c>
      <c r="E45" s="141" t="s">
        <v>409</v>
      </c>
      <c r="F45" s="141" t="s">
        <v>516</v>
      </c>
    </row>
    <row r="46">
      <c r="A46" s="140">
        <v>45.0</v>
      </c>
      <c r="B46" s="141" t="s">
        <v>415</v>
      </c>
      <c r="C46" s="141" t="s">
        <v>517</v>
      </c>
      <c r="D46" s="141" t="s">
        <v>518</v>
      </c>
      <c r="E46" s="141" t="s">
        <v>409</v>
      </c>
      <c r="F46" s="141" t="s">
        <v>519</v>
      </c>
    </row>
    <row r="47">
      <c r="A47" s="140">
        <v>46.0</v>
      </c>
      <c r="B47" s="141" t="s">
        <v>415</v>
      </c>
      <c r="C47" s="141" t="s">
        <v>520</v>
      </c>
      <c r="D47" s="141" t="s">
        <v>518</v>
      </c>
      <c r="E47" s="141" t="s">
        <v>409</v>
      </c>
      <c r="F47" s="141" t="s">
        <v>521</v>
      </c>
    </row>
    <row r="48">
      <c r="A48" s="140">
        <v>47.0</v>
      </c>
      <c r="B48" s="141" t="s">
        <v>415</v>
      </c>
      <c r="C48" s="141" t="s">
        <v>522</v>
      </c>
      <c r="D48" s="141" t="s">
        <v>518</v>
      </c>
      <c r="E48" s="141" t="s">
        <v>409</v>
      </c>
      <c r="F48" s="141" t="s">
        <v>523</v>
      </c>
    </row>
    <row r="49">
      <c r="A49" s="140">
        <v>48.0</v>
      </c>
      <c r="B49" s="141" t="s">
        <v>415</v>
      </c>
      <c r="C49" s="141" t="s">
        <v>524</v>
      </c>
      <c r="D49" s="141" t="s">
        <v>518</v>
      </c>
      <c r="E49" s="141" t="s">
        <v>409</v>
      </c>
      <c r="F49" s="141" t="s">
        <v>525</v>
      </c>
    </row>
    <row r="50">
      <c r="A50" s="140">
        <v>49.0</v>
      </c>
      <c r="B50" s="141" t="s">
        <v>415</v>
      </c>
      <c r="C50" s="141" t="s">
        <v>526</v>
      </c>
      <c r="D50" s="141" t="s">
        <v>518</v>
      </c>
      <c r="E50" s="141" t="s">
        <v>409</v>
      </c>
      <c r="F50" s="141" t="s">
        <v>527</v>
      </c>
    </row>
    <row r="51">
      <c r="A51" s="140">
        <v>50.0</v>
      </c>
      <c r="B51" s="141" t="s">
        <v>415</v>
      </c>
      <c r="C51" s="141" t="s">
        <v>528</v>
      </c>
      <c r="D51" s="141" t="s">
        <v>518</v>
      </c>
      <c r="E51" s="141" t="s">
        <v>409</v>
      </c>
      <c r="F51" s="141" t="s">
        <v>529</v>
      </c>
    </row>
    <row r="52">
      <c r="A52" s="140">
        <v>51.0</v>
      </c>
      <c r="B52" s="141" t="s">
        <v>415</v>
      </c>
      <c r="C52" s="141" t="s">
        <v>530</v>
      </c>
      <c r="D52" s="141" t="s">
        <v>518</v>
      </c>
      <c r="E52" s="141" t="s">
        <v>409</v>
      </c>
      <c r="F52" s="141" t="s">
        <v>531</v>
      </c>
    </row>
    <row r="53">
      <c r="A53" s="140">
        <v>52.0</v>
      </c>
      <c r="B53" s="141" t="s">
        <v>415</v>
      </c>
      <c r="C53" s="141" t="s">
        <v>532</v>
      </c>
      <c r="D53" s="141" t="s">
        <v>518</v>
      </c>
      <c r="E53" s="141" t="s">
        <v>409</v>
      </c>
      <c r="F53" s="141" t="s">
        <v>533</v>
      </c>
    </row>
    <row r="54">
      <c r="A54" s="140">
        <v>53.0</v>
      </c>
      <c r="B54" s="141" t="s">
        <v>415</v>
      </c>
      <c r="C54" s="141" t="s">
        <v>534</v>
      </c>
      <c r="D54" s="141" t="s">
        <v>518</v>
      </c>
      <c r="E54" s="141" t="s">
        <v>409</v>
      </c>
      <c r="F54" s="141" t="s">
        <v>535</v>
      </c>
    </row>
    <row r="55">
      <c r="A55" s="140">
        <v>54.0</v>
      </c>
      <c r="B55" s="141" t="s">
        <v>415</v>
      </c>
      <c r="C55" s="141" t="s">
        <v>536</v>
      </c>
      <c r="D55" s="141" t="s">
        <v>518</v>
      </c>
      <c r="E55" s="141" t="s">
        <v>409</v>
      </c>
      <c r="F55" s="141" t="s">
        <v>537</v>
      </c>
    </row>
    <row r="56">
      <c r="A56" s="140">
        <v>55.0</v>
      </c>
      <c r="B56" s="141" t="s">
        <v>415</v>
      </c>
      <c r="C56" s="141" t="s">
        <v>538</v>
      </c>
      <c r="D56" s="141" t="s">
        <v>518</v>
      </c>
      <c r="E56" s="141" t="s">
        <v>409</v>
      </c>
      <c r="F56" s="141" t="s">
        <v>539</v>
      </c>
    </row>
    <row r="57">
      <c r="A57" s="140">
        <v>56.0</v>
      </c>
      <c r="B57" s="141" t="s">
        <v>415</v>
      </c>
      <c r="C57" s="141" t="s">
        <v>540</v>
      </c>
      <c r="D57" s="141" t="s">
        <v>518</v>
      </c>
      <c r="E57" s="141" t="s">
        <v>409</v>
      </c>
      <c r="F57" s="141" t="s">
        <v>541</v>
      </c>
    </row>
    <row r="58">
      <c r="A58" s="140">
        <v>57.0</v>
      </c>
      <c r="B58" s="141" t="s">
        <v>415</v>
      </c>
      <c r="C58" s="141" t="s">
        <v>542</v>
      </c>
      <c r="D58" s="141" t="s">
        <v>518</v>
      </c>
      <c r="E58" s="141" t="s">
        <v>409</v>
      </c>
      <c r="F58" s="141" t="s">
        <v>543</v>
      </c>
    </row>
    <row r="59">
      <c r="A59" s="140">
        <v>58.0</v>
      </c>
      <c r="B59" s="141" t="s">
        <v>415</v>
      </c>
      <c r="C59" s="141" t="s">
        <v>544</v>
      </c>
      <c r="D59" s="141" t="s">
        <v>518</v>
      </c>
      <c r="E59" s="141" t="s">
        <v>409</v>
      </c>
      <c r="F59" s="141" t="s">
        <v>545</v>
      </c>
    </row>
    <row r="60">
      <c r="A60" s="140">
        <v>59.0</v>
      </c>
      <c r="B60" s="141" t="s">
        <v>415</v>
      </c>
      <c r="C60" s="141" t="s">
        <v>546</v>
      </c>
      <c r="D60" s="141" t="s">
        <v>490</v>
      </c>
      <c r="E60" s="141" t="s">
        <v>409</v>
      </c>
      <c r="F60" s="141" t="s">
        <v>547</v>
      </c>
    </row>
    <row r="61">
      <c r="A61" s="140">
        <v>60.0</v>
      </c>
      <c r="B61" s="141" t="s">
        <v>415</v>
      </c>
      <c r="C61" s="141" t="s">
        <v>548</v>
      </c>
      <c r="D61" s="141" t="s">
        <v>549</v>
      </c>
      <c r="E61" s="141" t="s">
        <v>445</v>
      </c>
      <c r="F61" s="141" t="s">
        <v>550</v>
      </c>
    </row>
    <row r="62">
      <c r="A62" s="140">
        <v>61.0</v>
      </c>
      <c r="B62" s="141" t="s">
        <v>415</v>
      </c>
      <c r="C62" s="141" t="s">
        <v>551</v>
      </c>
      <c r="D62" s="141" t="s">
        <v>552</v>
      </c>
      <c r="E62" s="141" t="s">
        <v>409</v>
      </c>
      <c r="F62" s="141" t="s">
        <v>553</v>
      </c>
    </row>
    <row r="63">
      <c r="A63" s="140">
        <v>62.0</v>
      </c>
      <c r="B63" s="141" t="s">
        <v>415</v>
      </c>
      <c r="C63" s="141" t="s">
        <v>554</v>
      </c>
      <c r="D63" s="140">
        <v>3.2</v>
      </c>
      <c r="E63" s="141" t="s">
        <v>409</v>
      </c>
      <c r="F63" s="141" t="s">
        <v>555</v>
      </c>
    </row>
    <row r="64">
      <c r="A64" s="140">
        <v>63.0</v>
      </c>
      <c r="B64" s="141" t="s">
        <v>415</v>
      </c>
      <c r="C64" s="141" t="s">
        <v>556</v>
      </c>
      <c r="D64" s="141" t="s">
        <v>441</v>
      </c>
      <c r="E64" s="141" t="s">
        <v>409</v>
      </c>
      <c r="F64" s="141" t="s">
        <v>557</v>
      </c>
    </row>
    <row r="65">
      <c r="A65" s="140">
        <v>64.0</v>
      </c>
      <c r="B65" s="141" t="s">
        <v>415</v>
      </c>
      <c r="C65" s="141" t="s">
        <v>558</v>
      </c>
      <c r="D65" s="141" t="s">
        <v>441</v>
      </c>
      <c r="E65" s="141" t="s">
        <v>409</v>
      </c>
      <c r="F65" s="141" t="s">
        <v>559</v>
      </c>
    </row>
    <row r="66">
      <c r="A66" s="140">
        <v>65.0</v>
      </c>
      <c r="B66" s="141" t="s">
        <v>415</v>
      </c>
      <c r="C66" s="141" t="s">
        <v>560</v>
      </c>
      <c r="D66" s="141" t="s">
        <v>561</v>
      </c>
      <c r="E66" s="141" t="s">
        <v>562</v>
      </c>
      <c r="F66" s="141" t="s">
        <v>563</v>
      </c>
    </row>
    <row r="67">
      <c r="A67" s="140">
        <v>66.0</v>
      </c>
      <c r="B67" s="141" t="s">
        <v>415</v>
      </c>
      <c r="C67" s="141" t="s">
        <v>564</v>
      </c>
      <c r="D67" s="141" t="s">
        <v>565</v>
      </c>
      <c r="E67" s="141" t="s">
        <v>566</v>
      </c>
      <c r="F67" s="141" t="s">
        <v>567</v>
      </c>
    </row>
    <row r="68">
      <c r="A68" s="140">
        <v>67.0</v>
      </c>
      <c r="B68" s="141" t="s">
        <v>415</v>
      </c>
      <c r="C68" s="141" t="s">
        <v>568</v>
      </c>
      <c r="D68" s="141" t="s">
        <v>569</v>
      </c>
      <c r="E68" s="141" t="s">
        <v>409</v>
      </c>
      <c r="F68" s="141" t="s">
        <v>570</v>
      </c>
    </row>
    <row r="69">
      <c r="A69" s="140">
        <v>68.0</v>
      </c>
      <c r="B69" s="141" t="s">
        <v>415</v>
      </c>
      <c r="C69" s="141" t="s">
        <v>571</v>
      </c>
      <c r="D69" s="141" t="s">
        <v>572</v>
      </c>
      <c r="E69" s="141" t="s">
        <v>573</v>
      </c>
      <c r="F69" s="141" t="s">
        <v>574</v>
      </c>
    </row>
    <row r="70">
      <c r="A70" s="140">
        <v>69.0</v>
      </c>
      <c r="B70" s="141" t="s">
        <v>415</v>
      </c>
      <c r="C70" s="141" t="s">
        <v>575</v>
      </c>
      <c r="D70" s="141" t="s">
        <v>576</v>
      </c>
      <c r="E70" s="141" t="s">
        <v>577</v>
      </c>
      <c r="F70" s="141" t="s">
        <v>578</v>
      </c>
    </row>
    <row r="71">
      <c r="A71" s="140">
        <v>70.0</v>
      </c>
      <c r="B71" s="141" t="s">
        <v>415</v>
      </c>
      <c r="C71" s="141" t="s">
        <v>579</v>
      </c>
      <c r="D71" s="141" t="s">
        <v>490</v>
      </c>
      <c r="E71" s="141" t="s">
        <v>409</v>
      </c>
      <c r="F71" s="141" t="s">
        <v>580</v>
      </c>
    </row>
    <row r="72">
      <c r="A72" s="140">
        <v>71.0</v>
      </c>
      <c r="B72" s="141" t="s">
        <v>415</v>
      </c>
      <c r="C72" s="141" t="s">
        <v>581</v>
      </c>
      <c r="D72" s="141" t="s">
        <v>582</v>
      </c>
      <c r="E72" s="141" t="s">
        <v>409</v>
      </c>
      <c r="F72" s="141" t="s">
        <v>583</v>
      </c>
    </row>
    <row r="73">
      <c r="A73" s="140">
        <v>72.0</v>
      </c>
      <c r="B73" s="141" t="s">
        <v>415</v>
      </c>
      <c r="C73" s="141" t="s">
        <v>584</v>
      </c>
      <c r="D73" s="141" t="s">
        <v>585</v>
      </c>
      <c r="E73" s="141" t="s">
        <v>409</v>
      </c>
      <c r="F73" s="141" t="s">
        <v>586</v>
      </c>
    </row>
    <row r="74">
      <c r="A74" s="140">
        <v>73.0</v>
      </c>
      <c r="B74" s="141" t="s">
        <v>415</v>
      </c>
      <c r="C74" s="141" t="s">
        <v>587</v>
      </c>
      <c r="D74" s="141" t="s">
        <v>588</v>
      </c>
      <c r="E74" s="141" t="s">
        <v>409</v>
      </c>
      <c r="F74" s="141" t="s">
        <v>589</v>
      </c>
    </row>
    <row r="75">
      <c r="A75" s="140">
        <v>74.0</v>
      </c>
      <c r="B75" s="141" t="s">
        <v>415</v>
      </c>
      <c r="C75" s="141" t="s">
        <v>590</v>
      </c>
      <c r="D75" s="141" t="s">
        <v>585</v>
      </c>
      <c r="E75" s="141" t="s">
        <v>409</v>
      </c>
      <c r="F75" s="141" t="s">
        <v>591</v>
      </c>
    </row>
    <row r="76">
      <c r="A76" s="140">
        <v>75.0</v>
      </c>
      <c r="B76" s="141" t="s">
        <v>415</v>
      </c>
      <c r="C76" s="141" t="s">
        <v>592</v>
      </c>
      <c r="D76" s="141" t="s">
        <v>593</v>
      </c>
      <c r="E76" s="141" t="s">
        <v>409</v>
      </c>
      <c r="F76" s="141" t="s">
        <v>594</v>
      </c>
    </row>
    <row r="77">
      <c r="A77" s="140">
        <v>76.0</v>
      </c>
      <c r="B77" s="141" t="s">
        <v>415</v>
      </c>
      <c r="C77" s="141" t="s">
        <v>595</v>
      </c>
      <c r="D77" s="140">
        <v>1.2</v>
      </c>
      <c r="E77" s="141" t="s">
        <v>409</v>
      </c>
      <c r="F77" s="141" t="s">
        <v>596</v>
      </c>
    </row>
    <row r="78">
      <c r="A78" s="140">
        <v>77.0</v>
      </c>
      <c r="B78" s="141" t="s">
        <v>415</v>
      </c>
      <c r="C78" s="141" t="s">
        <v>597</v>
      </c>
      <c r="D78" s="141" t="s">
        <v>490</v>
      </c>
      <c r="E78" s="141" t="s">
        <v>409</v>
      </c>
      <c r="F78" s="141" t="s">
        <v>598</v>
      </c>
    </row>
    <row r="79">
      <c r="A79" s="140">
        <v>78.0</v>
      </c>
      <c r="B79" s="141" t="s">
        <v>415</v>
      </c>
      <c r="C79" s="141" t="s">
        <v>599</v>
      </c>
      <c r="D79" s="141" t="s">
        <v>490</v>
      </c>
      <c r="E79" s="141" t="s">
        <v>409</v>
      </c>
      <c r="F79" s="141" t="s">
        <v>600</v>
      </c>
    </row>
    <row r="80">
      <c r="A80" s="140">
        <v>79.0</v>
      </c>
      <c r="B80" s="141" t="s">
        <v>415</v>
      </c>
      <c r="C80" s="141" t="s">
        <v>601</v>
      </c>
      <c r="D80" s="141" t="s">
        <v>490</v>
      </c>
      <c r="E80" s="141" t="s">
        <v>409</v>
      </c>
      <c r="F80" s="141" t="s">
        <v>602</v>
      </c>
    </row>
    <row r="81">
      <c r="A81" s="140">
        <v>80.0</v>
      </c>
      <c r="B81" s="141" t="s">
        <v>415</v>
      </c>
      <c r="C81" s="141" t="s">
        <v>603</v>
      </c>
      <c r="D81" s="141" t="s">
        <v>490</v>
      </c>
      <c r="E81" s="141" t="s">
        <v>409</v>
      </c>
      <c r="F81" s="141" t="s">
        <v>604</v>
      </c>
    </row>
    <row r="82">
      <c r="A82" s="140">
        <v>81.0</v>
      </c>
      <c r="B82" s="141" t="s">
        <v>415</v>
      </c>
      <c r="C82" s="141" t="s">
        <v>605</v>
      </c>
      <c r="D82" s="141" t="s">
        <v>490</v>
      </c>
      <c r="E82" s="141" t="s">
        <v>409</v>
      </c>
      <c r="F82" s="141" t="s">
        <v>606</v>
      </c>
    </row>
    <row r="83">
      <c r="A83" s="140">
        <v>82.0</v>
      </c>
      <c r="B83" s="141" t="s">
        <v>415</v>
      </c>
      <c r="C83" s="141" t="s">
        <v>607</v>
      </c>
      <c r="D83" s="141" t="s">
        <v>608</v>
      </c>
      <c r="E83" s="141" t="s">
        <v>409</v>
      </c>
      <c r="F83" s="141" t="s">
        <v>609</v>
      </c>
    </row>
    <row r="84">
      <c r="A84" s="140">
        <v>83.0</v>
      </c>
      <c r="B84" s="141" t="s">
        <v>415</v>
      </c>
      <c r="C84" s="141" t="s">
        <v>610</v>
      </c>
      <c r="D84" s="141" t="s">
        <v>509</v>
      </c>
      <c r="E84" s="141" t="s">
        <v>409</v>
      </c>
      <c r="F84" s="141" t="s">
        <v>611</v>
      </c>
    </row>
    <row r="85">
      <c r="A85" s="140">
        <v>84.0</v>
      </c>
      <c r="B85" s="141" t="s">
        <v>415</v>
      </c>
      <c r="C85" s="141" t="s">
        <v>612</v>
      </c>
      <c r="D85" s="141" t="s">
        <v>509</v>
      </c>
      <c r="E85" s="141" t="s">
        <v>409</v>
      </c>
      <c r="F85" s="141" t="s">
        <v>613</v>
      </c>
    </row>
    <row r="86">
      <c r="A86" s="140">
        <v>85.0</v>
      </c>
      <c r="B86" s="141" t="s">
        <v>415</v>
      </c>
      <c r="C86" s="141" t="s">
        <v>614</v>
      </c>
      <c r="D86" s="141" t="s">
        <v>509</v>
      </c>
      <c r="E86" s="141" t="s">
        <v>409</v>
      </c>
      <c r="F86" s="141" t="s">
        <v>615</v>
      </c>
    </row>
    <row r="87">
      <c r="A87" s="140">
        <v>86.0</v>
      </c>
      <c r="B87" s="141" t="s">
        <v>415</v>
      </c>
      <c r="C87" s="141" t="s">
        <v>616</v>
      </c>
      <c r="D87" s="141" t="s">
        <v>509</v>
      </c>
      <c r="E87" s="141" t="s">
        <v>409</v>
      </c>
      <c r="F87" s="141" t="s">
        <v>617</v>
      </c>
    </row>
    <row r="88">
      <c r="A88" s="140">
        <v>87.0</v>
      </c>
      <c r="B88" s="141" t="s">
        <v>415</v>
      </c>
      <c r="C88" s="141" t="s">
        <v>618</v>
      </c>
      <c r="D88" s="141" t="s">
        <v>444</v>
      </c>
      <c r="E88" s="141" t="s">
        <v>445</v>
      </c>
      <c r="F88" s="141" t="s">
        <v>619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142" t="str">
        <f>'Project Team'!A1</f>
        <v>Last Name</v>
      </c>
      <c r="B1" s="142" t="str">
        <f>'Project Team'!B1</f>
        <v>First Name</v>
      </c>
      <c r="C1" s="143" t="s">
        <v>620</v>
      </c>
      <c r="D1" s="144"/>
      <c r="E1" s="145"/>
      <c r="F1" s="146"/>
      <c r="G1" s="147"/>
      <c r="H1" s="147"/>
    </row>
    <row r="2">
      <c r="A2" s="148" t="str">
        <f>'Project Team'!A2</f>
        <v>Lorenz</v>
      </c>
      <c r="B2" s="148" t="str">
        <f>'Project Team'!B2</f>
        <v>Alexander</v>
      </c>
      <c r="C2" s="149">
        <v>5.0</v>
      </c>
      <c r="D2" s="150"/>
      <c r="E2" s="151">
        <f>average(C2:C10)</f>
        <v>5</v>
      </c>
      <c r="F2" s="152" t="str">
        <f>if(stdev(C2:C7) &gt; 0,"NOK", "OK")</f>
        <v>OK</v>
      </c>
      <c r="G2" s="153"/>
      <c r="H2" s="153"/>
    </row>
    <row r="3">
      <c r="A3" s="154" t="str">
        <f>'Project Team'!A3</f>
        <v>Buchner</v>
      </c>
      <c r="B3" s="154" t="str">
        <f>'Project Team'!B3</f>
        <v>Lea</v>
      </c>
      <c r="C3" s="149">
        <v>5.0</v>
      </c>
      <c r="D3" s="155"/>
      <c r="G3" s="156"/>
      <c r="H3" s="156"/>
    </row>
    <row r="4">
      <c r="A4" s="148" t="str">
        <f>'Project Team'!A4</f>
        <v>Engelhard</v>
      </c>
      <c r="B4" s="148" t="str">
        <f>'Project Team'!B4</f>
        <v>Dirk</v>
      </c>
      <c r="C4" s="157"/>
      <c r="D4" s="150"/>
      <c r="G4" s="153"/>
      <c r="H4" s="153"/>
    </row>
    <row r="5">
      <c r="A5" s="154" t="str">
        <f>'Project Team'!A5</f>
        <v>Strachwitz</v>
      </c>
      <c r="B5" s="154" t="str">
        <f>'Project Team'!B5</f>
        <v>Carlo</v>
      </c>
      <c r="C5" s="158"/>
      <c r="D5" s="159"/>
      <c r="E5" s="159"/>
      <c r="F5" s="159"/>
      <c r="G5" s="156"/>
      <c r="H5" s="156"/>
    </row>
    <row r="6">
      <c r="A6" s="148" t="str">
        <f>'Project Team'!A6</f>
        <v>Belz</v>
      </c>
      <c r="B6" s="148" t="str">
        <f>'Project Team'!B6</f>
        <v>Sara</v>
      </c>
      <c r="C6" s="157"/>
      <c r="D6" s="160"/>
      <c r="E6" s="161">
        <v>0.0</v>
      </c>
      <c r="F6" s="162" t="s">
        <v>621</v>
      </c>
      <c r="G6" s="153"/>
      <c r="H6" s="153"/>
    </row>
    <row r="7">
      <c r="A7" s="154" t="str">
        <f>'Project Team'!A7</f>
        <v>Becker</v>
      </c>
      <c r="B7" s="154" t="str">
        <f>'Project Team'!B7</f>
        <v>Eugen</v>
      </c>
      <c r="C7" s="157"/>
      <c r="D7" s="159"/>
      <c r="E7" s="161">
        <v>1.0</v>
      </c>
      <c r="F7" s="162" t="s">
        <v>622</v>
      </c>
      <c r="G7" s="156"/>
      <c r="H7" s="156"/>
    </row>
    <row r="8">
      <c r="A8" s="148" t="str">
        <f>'Project Team'!A8</f>
        <v>Hofmann</v>
      </c>
      <c r="B8" s="148" t="str">
        <f>'Project Team'!B8</f>
        <v>Leo</v>
      </c>
      <c r="C8" s="158"/>
      <c r="D8" s="160"/>
      <c r="E8" s="161">
        <v>2.0</v>
      </c>
      <c r="F8" s="162" t="s">
        <v>623</v>
      </c>
      <c r="G8" s="153"/>
      <c r="H8" s="153"/>
    </row>
    <row r="9">
      <c r="A9" s="154" t="str">
        <f>'Project Team'!A9</f>
        <v>Knecht</v>
      </c>
      <c r="B9" s="154" t="str">
        <f>'Project Team'!B9</f>
        <v>Sebastian</v>
      </c>
      <c r="C9" s="158"/>
      <c r="D9" s="159"/>
      <c r="E9" s="161">
        <v>3.0</v>
      </c>
      <c r="F9" s="162" t="s">
        <v>624</v>
      </c>
      <c r="G9" s="156"/>
      <c r="H9" s="156"/>
    </row>
    <row r="10">
      <c r="A10" s="148" t="str">
        <f>'Project Team'!A10</f>
        <v/>
      </c>
      <c r="B10" s="148" t="str">
        <f>'Project Team'!B10</f>
        <v/>
      </c>
      <c r="C10" s="158"/>
      <c r="D10" s="160"/>
      <c r="E10" s="161">
        <v>5.0</v>
      </c>
      <c r="F10" s="162" t="s">
        <v>625</v>
      </c>
      <c r="G10" s="153"/>
      <c r="H10" s="153"/>
    </row>
    <row r="11">
      <c r="A11" s="154"/>
      <c r="B11" s="154"/>
      <c r="C11" s="157"/>
      <c r="D11" s="159"/>
      <c r="E11" s="161">
        <v>8.0</v>
      </c>
      <c r="F11" s="162" t="s">
        <v>626</v>
      </c>
      <c r="G11" s="156"/>
      <c r="H11" s="156"/>
    </row>
    <row r="12">
      <c r="A12" s="148"/>
      <c r="B12" s="148"/>
      <c r="C12" s="157"/>
      <c r="D12" s="160"/>
      <c r="E12" s="161">
        <v>13.0</v>
      </c>
      <c r="F12" s="162" t="s">
        <v>627</v>
      </c>
      <c r="G12" s="153"/>
      <c r="H12" s="153"/>
    </row>
    <row r="13">
      <c r="A13" s="154"/>
      <c r="B13" s="154"/>
      <c r="C13" s="159"/>
      <c r="D13" s="159"/>
      <c r="E13" s="159"/>
      <c r="F13" s="159"/>
      <c r="G13" s="156"/>
      <c r="H13" s="156"/>
    </row>
    <row r="14">
      <c r="A14" s="163" t="s">
        <v>628</v>
      </c>
      <c r="B14" s="164"/>
      <c r="C14" s="164"/>
      <c r="D14" s="164"/>
      <c r="E14" s="164"/>
      <c r="F14" s="164"/>
      <c r="G14" s="164"/>
      <c r="H14" s="164"/>
    </row>
    <row r="15">
      <c r="A15" s="165"/>
      <c r="B15" s="165"/>
      <c r="C15" s="165"/>
      <c r="D15" s="165"/>
      <c r="E15" s="165"/>
      <c r="F15" s="165"/>
      <c r="G15" s="165"/>
      <c r="H15" s="165"/>
    </row>
    <row r="16">
      <c r="A16" s="166" t="s">
        <v>629</v>
      </c>
      <c r="B16" s="167"/>
      <c r="C16" s="167"/>
      <c r="D16" s="167"/>
      <c r="E16" s="167"/>
      <c r="F16" s="167"/>
      <c r="G16" s="167"/>
      <c r="H16" s="167"/>
    </row>
    <row r="17">
      <c r="A17" s="168" t="s">
        <v>630</v>
      </c>
      <c r="B17" s="165"/>
      <c r="C17" s="165"/>
      <c r="D17" s="165"/>
      <c r="E17" s="165"/>
      <c r="F17" s="165"/>
      <c r="G17" s="165"/>
      <c r="H17" s="165"/>
    </row>
    <row r="18">
      <c r="A18" s="166" t="s">
        <v>631</v>
      </c>
      <c r="B18" s="167"/>
      <c r="C18" s="167"/>
      <c r="D18" s="167"/>
      <c r="E18" s="167"/>
      <c r="F18" s="167"/>
      <c r="G18" s="167"/>
      <c r="H18" s="167"/>
    </row>
    <row r="19">
      <c r="A19" s="165"/>
      <c r="B19" s="165"/>
      <c r="C19" s="165"/>
      <c r="D19" s="165"/>
      <c r="E19" s="165"/>
      <c r="F19" s="165"/>
      <c r="G19" s="165"/>
      <c r="H19" s="165"/>
    </row>
    <row r="20">
      <c r="A20" s="167"/>
      <c r="B20" s="167"/>
      <c r="C20" s="167"/>
      <c r="D20" s="167"/>
      <c r="E20" s="167"/>
      <c r="F20" s="167"/>
      <c r="G20" s="167"/>
      <c r="H20" s="167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